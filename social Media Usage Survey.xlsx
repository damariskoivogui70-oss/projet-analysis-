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2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3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4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Y PROJET DATA ANALYST\EXCEL\"/>
    </mc:Choice>
  </mc:AlternateContent>
  <xr:revisionPtr revIDLastSave="0" documentId="13_ncr:1_{8596F45E-E115-47D6-800D-B7443E7CC7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vot Table" sheetId="7" r:id="rId1"/>
    <sheet name="Social_Media" sheetId="1" r:id="rId2"/>
    <sheet name="Plot and whisper" sheetId="8" r:id="rId3"/>
    <sheet name="lookup" sheetId="9" r:id="rId4"/>
  </sheets>
  <definedNames>
    <definedName name="_xlchart.v1.0" hidden="1">Social_Media!$Y$1</definedName>
    <definedName name="_xlchart.v1.1" hidden="1">Social_Media!$Y$2:$Y$30</definedName>
    <definedName name="_xlchart.v1.10" hidden="1">Social_Media!$Y$2:$Y$30</definedName>
    <definedName name="_xlchart.v1.2" hidden="1">Social_Media!$F$2:$F$30</definedName>
    <definedName name="_xlchart.v1.3" hidden="1">Social_Media!$Y$1</definedName>
    <definedName name="_xlchart.v1.4" hidden="1">Social_Media!$Y$2:$Y$30</definedName>
    <definedName name="_xlchart.v1.5" hidden="1">Social_Media!$J$2:$J$30</definedName>
    <definedName name="_xlchart.v1.6" hidden="1">Social_Media!$Y$1</definedName>
    <definedName name="_xlchart.v1.7" hidden="1">Social_Media!$Y$2:$Y$30</definedName>
    <definedName name="_xlchart.v1.8" hidden="1">Social_Media!$G$2:$G$30</definedName>
    <definedName name="_xlchart.v1.9" hidden="1">Social_Media!$Y$1</definedName>
    <definedName name="_xlcn.WorksheetConnection_socialMediaUsageSurvey.xlsxTable11" hidden="1">Table1[]</definedName>
    <definedName name="Social_Media">Social_Media!$A$1:$Y$30</definedName>
  </definedNames>
  <calcPr calcId="191029"/>
  <pivotCaches>
    <pivotCache cacheId="0" r:id="rId5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social Media Usage Survey.xlsx!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" i="1" l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AK11" i="1"/>
  <c r="AK6" i="1"/>
  <c r="AD22" i="1"/>
  <c r="AD16" i="1"/>
  <c r="AD11" i="1"/>
  <c r="AD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social Media Usage Survey.xlsx!Table1" type="102" refreshedVersion="7" minRefreshableVersion="5">
    <extLst>
      <ext xmlns:x15="http://schemas.microsoft.com/office/spreadsheetml/2010/11/main" uri="{DE250136-89BD-433C-8126-D09CA5730AF9}">
        <x15:connection id="Table1">
          <x15:rangePr sourceName="_xlcn.WorksheetConnection_socialMediaUsageSurvey.xlsxTable11"/>
        </x15:connection>
      </ext>
    </extLst>
  </connection>
</connections>
</file>

<file path=xl/sharedStrings.xml><?xml version="1.0" encoding="utf-8"?>
<sst xmlns="http://schemas.openxmlformats.org/spreadsheetml/2006/main" count="423" uniqueCount="152">
  <si>
    <t>ID</t>
  </si>
  <si>
    <t>Name</t>
  </si>
  <si>
    <t>Gender</t>
  </si>
  <si>
    <t xml:space="preserve">Age </t>
  </si>
  <si>
    <t xml:space="preserve">Highest  Education </t>
  </si>
  <si>
    <t xml:space="preserve"> social media use(Yes/No)</t>
  </si>
  <si>
    <t xml:space="preserve"> regularly social media platforms</t>
  </si>
  <si>
    <t>H</t>
  </si>
  <si>
    <t>I</t>
  </si>
  <si>
    <t>G</t>
  </si>
  <si>
    <t>WhatsApp</t>
  </si>
  <si>
    <t>Instagram</t>
  </si>
  <si>
    <t>Tiktok</t>
  </si>
  <si>
    <t>Telegram</t>
  </si>
  <si>
    <t>Number of followed account</t>
  </si>
  <si>
    <t>Main reason</t>
  </si>
  <si>
    <t>Entertainment</t>
  </si>
  <si>
    <t>Work</t>
  </si>
  <si>
    <t>Study</t>
  </si>
  <si>
    <t>Other</t>
  </si>
  <si>
    <t>Waly</t>
  </si>
  <si>
    <t>Female</t>
  </si>
  <si>
    <t>20-25</t>
  </si>
  <si>
    <t>Postgraduate</t>
  </si>
  <si>
    <t>Yes</t>
  </si>
  <si>
    <t>Facebook</t>
  </si>
  <si>
    <t>More than 100</t>
  </si>
  <si>
    <t>Benjamin Zoum</t>
  </si>
  <si>
    <t>Male</t>
  </si>
  <si>
    <t>25-30</t>
  </si>
  <si>
    <t>University</t>
  </si>
  <si>
    <t>51-100</t>
  </si>
  <si>
    <t xml:space="preserve">Fwangle Jemimah </t>
  </si>
  <si>
    <t>Kolouboye</t>
  </si>
  <si>
    <t>30 +</t>
  </si>
  <si>
    <t>Secondary</t>
  </si>
  <si>
    <t xml:space="preserve">Major Elijah </t>
  </si>
  <si>
    <t>Less than 50</t>
  </si>
  <si>
    <t xml:space="preserve">AãCha Avo Camara </t>
  </si>
  <si>
    <t>Annabelle Cissã©</t>
  </si>
  <si>
    <t>Grace Liliane Biteghe</t>
  </si>
  <si>
    <t>Snapchat</t>
  </si>
  <si>
    <t>Damawa</t>
  </si>
  <si>
    <t>NO</t>
  </si>
  <si>
    <t>Phoneless</t>
  </si>
  <si>
    <t>Elisa</t>
  </si>
  <si>
    <t>Study;Work;Entertainment</t>
  </si>
  <si>
    <t xml:space="preserve">Guillermo </t>
  </si>
  <si>
    <t>Study;Entertainment</t>
  </si>
  <si>
    <t>Santiago</t>
  </si>
  <si>
    <t>Safia</t>
  </si>
  <si>
    <t>Study;Work</t>
  </si>
  <si>
    <t xml:space="preserve">Lambert </t>
  </si>
  <si>
    <t>Entertainment;Other</t>
  </si>
  <si>
    <t>Bernadette</t>
  </si>
  <si>
    <t>Douo</t>
  </si>
  <si>
    <t>Delphine</t>
  </si>
  <si>
    <t>Jeanne</t>
  </si>
  <si>
    <t>Study;Work;Entertainment;Other</t>
  </si>
  <si>
    <t>Sianea</t>
  </si>
  <si>
    <t>Zeze</t>
  </si>
  <si>
    <t>Marie</t>
  </si>
  <si>
    <t>Denise</t>
  </si>
  <si>
    <t>Kekoura</t>
  </si>
  <si>
    <t>Daniel</t>
  </si>
  <si>
    <t xml:space="preserve">Joseph </t>
  </si>
  <si>
    <t>Josephine</t>
  </si>
  <si>
    <t>Koligna</t>
  </si>
  <si>
    <t>Martine</t>
  </si>
  <si>
    <t>Junior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</si>
  <si>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</si>
  <si>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</si>
  <si>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</si>
  <si>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</si>
  <si>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</si>
  <si>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</si>
  <si>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</si>
  <si>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</si>
  <si>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</si>
  <si>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</si>
  <si>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</si>
  <si>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</si>
  <si>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</si>
  <si>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</si>
  <si>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</si>
  <si>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</si>
  <si>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</si>
  <si>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</si>
  <si>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</si>
  <si>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</si>
  <si>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</si>
  <si>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</si>
  <si>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</si>
  <si>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</si>
  <si>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</si>
  <si>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</si>
  <si>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</si>
  <si>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</si>
  <si>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</si>
  <si>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Code</t>
  </si>
  <si>
    <t>Date</t>
  </si>
  <si>
    <t>Weekday</t>
  </si>
  <si>
    <t>ABC2345</t>
  </si>
  <si>
    <t>ABC2346</t>
  </si>
  <si>
    <t>ABC2347</t>
  </si>
  <si>
    <t>ABC2348</t>
  </si>
  <si>
    <t>ABC2349</t>
  </si>
  <si>
    <t>ABC2350</t>
  </si>
  <si>
    <t>ABC2351</t>
  </si>
  <si>
    <t>ABC2352</t>
  </si>
  <si>
    <t>ABC2353</t>
  </si>
  <si>
    <t>ABC2354</t>
  </si>
  <si>
    <t>ABC2355</t>
  </si>
  <si>
    <t>ABC2356</t>
  </si>
  <si>
    <t>ABC2357</t>
  </si>
  <si>
    <t>ABC2358</t>
  </si>
  <si>
    <t>ABC2359</t>
  </si>
  <si>
    <t>ABC2360</t>
  </si>
  <si>
    <t>ABC2361</t>
  </si>
  <si>
    <t>ABC2362</t>
  </si>
  <si>
    <t>ABC2363</t>
  </si>
  <si>
    <t>ABC2364</t>
  </si>
  <si>
    <t>ABC2365</t>
  </si>
  <si>
    <t>ABC2366</t>
  </si>
  <si>
    <t>ABC2367</t>
  </si>
  <si>
    <t>ABC2368</t>
  </si>
  <si>
    <t>ABC2369</t>
  </si>
  <si>
    <t>ABC2370</t>
  </si>
  <si>
    <t>ABC2371</t>
  </si>
  <si>
    <t>ABC2372</t>
  </si>
  <si>
    <t>ABC2373</t>
  </si>
  <si>
    <t>Time daily</t>
  </si>
  <si>
    <t>Total time spend by facebook user</t>
  </si>
  <si>
    <t>total time spent by females using WhatsApp</t>
  </si>
  <si>
    <t>Number of TikTok users</t>
  </si>
  <si>
    <t>Number of females using Instagram</t>
  </si>
  <si>
    <t>Average time spent by Telegram users</t>
  </si>
  <si>
    <t>Average time spent by males using WhatsApp</t>
  </si>
  <si>
    <t>Row Labels</t>
  </si>
  <si>
    <t>(blank)</t>
  </si>
  <si>
    <t>Grand Total</t>
  </si>
  <si>
    <t>Count of ID</t>
  </si>
  <si>
    <t>Column Labels</t>
  </si>
  <si>
    <t>Sum of Time daily</t>
  </si>
  <si>
    <t>Average of Time daily</t>
  </si>
  <si>
    <t>MinHour</t>
  </si>
  <si>
    <t>Usage_Level</t>
  </si>
  <si>
    <t>Low</t>
  </si>
  <si>
    <t>Moderate</t>
  </si>
  <si>
    <t>High</t>
  </si>
  <si>
    <t>Usage level</t>
  </si>
  <si>
    <t>Usage level2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</si>
</sst>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20" fillId="0" borderId="0" xfId="0" applyFont="1"/>
    <xf numFmtId="0" fontId="22" fillId="0" borderId="0" xfId="0" applyFont="1"/>
    <xf numFmtId="0" fontId="21" fillId="0" borderId="0" xfId="0" applyFont="1"/>
    <xf numFmtId="0" fontId="19" fillId="0" borderId="0" xfId="0" applyFon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19" formatCode="m/d/yyyy"/>
    </dxf>
    <dxf>
      <numFmt numFmtId="19" formatCode="m/d/yyyy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0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24" Type="http://schemas.openxmlformats.org/officeDocument/2006/relationships/customXml" Target="../customXml/item13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8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 Usage Survey.xlsx]Pivot Table!PivotTable3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User</a:t>
            </a:r>
            <a:r>
              <a:rPr lang="en-US" baseline="0"/>
              <a:t> by gender</a:t>
            </a:r>
            <a:endParaRPr lang="en-US"/>
          </a:p>
        </c:rich>
      </c:tx>
      <c:layout>
        <c:manualLayout>
          <c:xMode val="edge"/>
          <c:yMode val="edge"/>
          <c:x val="0.32188188976377946"/>
          <c:y val="0.1100904053659959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CB4-4C01-AC93-4C1D52A6C4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CB4-4C01-AC93-4C1D52A6C4ED}"/>
              </c:ext>
            </c:extLst>
          </c:dPt>
          <c:cat>
            <c:strRef>
              <c:f>'Pivot Table'!$A$4:$A$6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Table'!$B$4:$B$6</c:f>
              <c:numCache>
                <c:formatCode>General</c:formatCode>
                <c:ptCount val="2"/>
                <c:pt idx="0">
                  <c:v>18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D9-4801-9C05-7AC058F63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 Usage Survey.xlsx]Pivot Table!PivotTable4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</a:t>
            </a:r>
            <a:r>
              <a:rPr lang="en-US" baseline="0"/>
              <a:t>rs by Education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Table'!$N$3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Table'!$M$4:$M$7</c:f>
              <c:strCache>
                <c:ptCount val="3"/>
                <c:pt idx="0">
                  <c:v>Postgraduate</c:v>
                </c:pt>
                <c:pt idx="1">
                  <c:v>Secondary</c:v>
                </c:pt>
                <c:pt idx="2">
                  <c:v>University</c:v>
                </c:pt>
              </c:strCache>
            </c:strRef>
          </c:cat>
          <c:val>
            <c:numRef>
              <c:f>'Pivot Table'!$N$4:$N$7</c:f>
              <c:numCache>
                <c:formatCode>General</c:formatCode>
                <c:ptCount val="3"/>
                <c:pt idx="0">
                  <c:v>6</c:v>
                </c:pt>
                <c:pt idx="1">
                  <c:v>8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F-4D13-B29D-AC98B2520C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60511528"/>
        <c:axId val="660511856"/>
        <c:axId val="0"/>
      </c:bar3DChart>
      <c:catAx>
        <c:axId val="660511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511856"/>
        <c:crosses val="autoZero"/>
        <c:auto val="1"/>
        <c:lblAlgn val="ctr"/>
        <c:lblOffset val="100"/>
        <c:noMultiLvlLbl val="0"/>
      </c:catAx>
      <c:valAx>
        <c:axId val="66051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511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 Usage Survey.xlsx]Pivot Table!PivotTable8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time spend by 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'Pivot Table'!$AL$3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Table'!$AK$4:$AK$7</c:f>
              <c:strCache>
                <c:ptCount val="3"/>
                <c:pt idx="0">
                  <c:v>20-25</c:v>
                </c:pt>
                <c:pt idx="1">
                  <c:v>25-30</c:v>
                </c:pt>
                <c:pt idx="2">
                  <c:v>30 +</c:v>
                </c:pt>
              </c:strCache>
            </c:strRef>
          </c:cat>
          <c:val>
            <c:numRef>
              <c:f>'Pivot Table'!$AL$4:$AL$7</c:f>
              <c:numCache>
                <c:formatCode>General</c:formatCode>
                <c:ptCount val="3"/>
                <c:pt idx="0">
                  <c:v>31</c:v>
                </c:pt>
                <c:pt idx="1">
                  <c:v>43</c:v>
                </c:pt>
                <c:pt idx="2">
                  <c:v>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6-4B7D-A3D4-B0577FF8DB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668433736"/>
        <c:axId val="668432424"/>
        <c:axId val="0"/>
      </c:area3DChart>
      <c:catAx>
        <c:axId val="668433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432424"/>
        <c:crosses val="autoZero"/>
        <c:auto val="1"/>
        <c:lblAlgn val="ctr"/>
        <c:lblOffset val="100"/>
        <c:noMultiLvlLbl val="0"/>
      </c:catAx>
      <c:valAx>
        <c:axId val="668432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4337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 Usage Survey.xlsx]Pivot Table!PivotTable7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</a:t>
            </a:r>
            <a:r>
              <a:rPr lang="en-US" baseline="0"/>
              <a:t> Reason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Table'!$AG$3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Table'!$AF$4:$AF$14</c:f>
              <c:strCache>
                <c:ptCount val="10"/>
                <c:pt idx="0">
                  <c:v>Entertainment</c:v>
                </c:pt>
                <c:pt idx="1">
                  <c:v>Entertainment;Other</c:v>
                </c:pt>
                <c:pt idx="2">
                  <c:v>Other</c:v>
                </c:pt>
                <c:pt idx="3">
                  <c:v>Phoneless</c:v>
                </c:pt>
                <c:pt idx="4">
                  <c:v>Study</c:v>
                </c:pt>
                <c:pt idx="5">
                  <c:v>Study;Entertainment</c:v>
                </c:pt>
                <c:pt idx="6">
                  <c:v>Study;Work</c:v>
                </c:pt>
                <c:pt idx="7">
                  <c:v>Study;Work;Entertainment</c:v>
                </c:pt>
                <c:pt idx="8">
                  <c:v>Study;Work;Entertainment;Other</c:v>
                </c:pt>
                <c:pt idx="9">
                  <c:v>Work</c:v>
                </c:pt>
              </c:strCache>
            </c:strRef>
          </c:cat>
          <c:val>
            <c:numRef>
              <c:f>'Pivot Table'!$AG$4:$AG$14</c:f>
              <c:numCache>
                <c:formatCode>General</c:formatCode>
                <c:ptCount val="10"/>
                <c:pt idx="0">
                  <c:v>5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8-4085-B308-77E4652B29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51514504"/>
        <c:axId val="951514832"/>
      </c:barChart>
      <c:catAx>
        <c:axId val="951514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514832"/>
        <c:crosses val="autoZero"/>
        <c:auto val="1"/>
        <c:lblAlgn val="ctr"/>
        <c:lblOffset val="100"/>
        <c:noMultiLvlLbl val="0"/>
      </c:catAx>
      <c:valAx>
        <c:axId val="951514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514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 Usage Survey.xlsx]Pivot Table!PivotTable5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</a:t>
            </a:r>
            <a:r>
              <a:rPr lang="en-US" baseline="0"/>
              <a:t> spend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Table'!$U$3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Table'!$T$4:$T$6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Table'!$U$4:$U$6</c:f>
              <c:numCache>
                <c:formatCode>General</c:formatCode>
                <c:ptCount val="2"/>
                <c:pt idx="0">
                  <c:v>4.2222222222222223</c:v>
                </c:pt>
                <c:pt idx="1">
                  <c:v>5.1818181818181817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C-4FA1-928B-D7F21BB31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2861352"/>
        <c:axId val="612861024"/>
      </c:barChart>
      <c:catAx>
        <c:axId val="612861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861024"/>
        <c:crosses val="autoZero"/>
        <c:auto val="1"/>
        <c:lblAlgn val="ctr"/>
        <c:lblOffset val="100"/>
        <c:noMultiLvlLbl val="0"/>
      </c:catAx>
      <c:valAx>
        <c:axId val="61286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861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 Usage Survey.xlsx]Pivot Table!PivotTable9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Regular</a:t>
            </a:r>
            <a:r>
              <a:rPr lang="en-US" baseline="0"/>
              <a:t> social media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580927384076985E-2"/>
          <c:y val="0.11009040536599592"/>
          <c:w val="0.74244685039370084"/>
          <c:h val="0.65853091280256637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'Pivot Table'!$AS$3:$AS$4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Table'!$AR$5:$AR$10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Tiktok</c:v>
                </c:pt>
                <c:pt idx="3">
                  <c:v>WhatsApp</c:v>
                </c:pt>
                <c:pt idx="4">
                  <c:v>(blank)</c:v>
                </c:pt>
              </c:strCache>
            </c:strRef>
          </c:cat>
          <c:val>
            <c:numRef>
              <c:f>'Pivot Table'!$AS$5:$AS$10</c:f>
              <c:numCache>
                <c:formatCode>General</c:formatCode>
                <c:ptCount val="5"/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54-4B3A-900B-45113EBB0D3F}"/>
            </c:ext>
          </c:extLst>
        </c:ser>
        <c:ser>
          <c:idx val="1"/>
          <c:order val="1"/>
          <c:tx>
            <c:strRef>
              <c:f>'Pivot Table'!$AT$3:$AT$4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Table'!$AR$5:$AR$10</c:f>
              <c:strCache>
                <c:ptCount val="5"/>
                <c:pt idx="0">
                  <c:v>Facebook</c:v>
                </c:pt>
                <c:pt idx="1">
                  <c:v>Instagram</c:v>
                </c:pt>
                <c:pt idx="2">
                  <c:v>Tiktok</c:v>
                </c:pt>
                <c:pt idx="3">
                  <c:v>WhatsApp</c:v>
                </c:pt>
                <c:pt idx="4">
                  <c:v>(blank)</c:v>
                </c:pt>
              </c:strCache>
            </c:strRef>
          </c:cat>
          <c:val>
            <c:numRef>
              <c:f>'Pivot Table'!$AT$5:$AT$10</c:f>
              <c:numCache>
                <c:formatCode>General</c:formatCode>
                <c:ptCount val="5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F54-4B3A-900B-45113EBB0D3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672956232"/>
        <c:axId val="672957872"/>
      </c:barChart>
      <c:catAx>
        <c:axId val="672956232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957872"/>
        <c:crosses val="autoZero"/>
        <c:auto val="1"/>
        <c:lblAlgn val="ctr"/>
        <c:lblOffset val="100"/>
        <c:noMultiLvlLbl val="0"/>
      </c:catAx>
      <c:valAx>
        <c:axId val="672957872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956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 Media Usage Survey.xlsx]Pivot Table!PivotTable10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Main</a:t>
            </a:r>
            <a:r>
              <a:rPr lang="en-US" baseline="0"/>
              <a:t> reason by gender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Table'!$BC$3:$BC$4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Table'!$BB$5:$BB$15</c:f>
              <c:strCache>
                <c:ptCount val="10"/>
                <c:pt idx="0">
                  <c:v>Entertainment</c:v>
                </c:pt>
                <c:pt idx="1">
                  <c:v>Entertainment;Other</c:v>
                </c:pt>
                <c:pt idx="2">
                  <c:v>Other</c:v>
                </c:pt>
                <c:pt idx="3">
                  <c:v>Phoneless</c:v>
                </c:pt>
                <c:pt idx="4">
                  <c:v>Study</c:v>
                </c:pt>
                <c:pt idx="5">
                  <c:v>Study;Entertainment</c:v>
                </c:pt>
                <c:pt idx="6">
                  <c:v>Study;Work</c:v>
                </c:pt>
                <c:pt idx="7">
                  <c:v>Study;Work;Entertainment</c:v>
                </c:pt>
                <c:pt idx="8">
                  <c:v>Study;Work;Entertainment;Other</c:v>
                </c:pt>
                <c:pt idx="9">
                  <c:v>Work</c:v>
                </c:pt>
              </c:strCache>
            </c:strRef>
          </c:cat>
          <c:val>
            <c:numRef>
              <c:f>'Pivot Table'!$BC$5:$BC$15</c:f>
              <c:numCache>
                <c:formatCode>General</c:formatCode>
                <c:ptCount val="10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92-4A1D-8A19-54B420BDDB2E}"/>
            </c:ext>
          </c:extLst>
        </c:ser>
        <c:ser>
          <c:idx val="1"/>
          <c:order val="1"/>
          <c:tx>
            <c:strRef>
              <c:f>'Pivot Table'!$BD$3:$BD$4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Table'!$BB$5:$BB$15</c:f>
              <c:strCache>
                <c:ptCount val="10"/>
                <c:pt idx="0">
                  <c:v>Entertainment</c:v>
                </c:pt>
                <c:pt idx="1">
                  <c:v>Entertainment;Other</c:v>
                </c:pt>
                <c:pt idx="2">
                  <c:v>Other</c:v>
                </c:pt>
                <c:pt idx="3">
                  <c:v>Phoneless</c:v>
                </c:pt>
                <c:pt idx="4">
                  <c:v>Study</c:v>
                </c:pt>
                <c:pt idx="5">
                  <c:v>Study;Entertainment</c:v>
                </c:pt>
                <c:pt idx="6">
                  <c:v>Study;Work</c:v>
                </c:pt>
                <c:pt idx="7">
                  <c:v>Study;Work;Entertainment</c:v>
                </c:pt>
                <c:pt idx="8">
                  <c:v>Study;Work;Entertainment;Other</c:v>
                </c:pt>
                <c:pt idx="9">
                  <c:v>Work</c:v>
                </c:pt>
              </c:strCache>
            </c:strRef>
          </c:cat>
          <c:val>
            <c:numRef>
              <c:f>'Pivot Table'!$BD$5:$BD$15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8">
                  <c:v>1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92-4A1D-8A19-54B420BDD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1512864"/>
        <c:axId val="951513192"/>
      </c:barChart>
      <c:catAx>
        <c:axId val="95151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513192"/>
        <c:crosses val="autoZero"/>
        <c:auto val="1"/>
        <c:lblAlgn val="ctr"/>
        <c:lblOffset val="100"/>
        <c:noMultiLvlLbl val="0"/>
      </c:catAx>
      <c:valAx>
        <c:axId val="951513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151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of Time Spent on Social Media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Distribution of Time Spent on Social Media</a:t>
          </a:r>
        </a:p>
      </cx:txPr>
    </cx:title>
    <cx:plotArea>
      <cx:plotAreaRegion>
        <cx:series layoutId="boxWhisker" uniqueId="{293EE67E-0F8D-4EE9-AD82-A7AA5D4E56E8}">
          <cx:tx>
            <cx:txData>
              <cx:f>_xlchart.v1.0</cx:f>
              <cx:v>Time daily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_xlchart.v1.4</cx:f>
      </cx:numDim>
    </cx:data>
  </cx:chartData>
  <cx:chart>
    <cx:title pos="t" align="ctr" overlay="0">
      <cx:tx>
        <cx:txData>
          <cx:v>Time daily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Time daily</a:t>
          </a:r>
        </a:p>
      </cx:txPr>
    </cx:title>
    <cx:plotArea>
      <cx:plotAreaRegion>
        <cx:series layoutId="boxWhisker" uniqueId="{C396CDCE-778E-4144-99A9-B99178CD3685}">
          <cx:tx>
            <cx:txData>
              <cx:f>_xlchart.v1.3</cx:f>
              <cx:v>Time daily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_xlchart.v1.5</cx:f>
      </cx:strDim>
      <cx:numDim type="val">
        <cx:f>_xlchart.v1.7</cx:f>
      </cx:numDim>
    </cx:data>
  </cx:chartData>
  <cx:chart>
    <cx:title pos="t" align="ctr" overlay="0">
      <cx:tx>
        <cx:txData>
          <cx:v>Time spend on social Media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Time spend on social Media</a:t>
          </a:r>
        </a:p>
      </cx:txPr>
    </cx:title>
    <cx:plotArea>
      <cx:plotAreaRegion>
        <cx:series layoutId="boxWhisker" uniqueId="{55C86CB4-0E13-4E62-81E8-D25326E8F540}">
          <cx:tx>
            <cx:txData>
              <cx:f>_xlchart.v1.6</cx:f>
              <cx:v>Time daily</cx:v>
            </cx:txData>
          </cx:tx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_xlchart.v1.10</cx:f>
      </cx:numDim>
    </cx:data>
  </cx:chartData>
  <cx:chart>
    <cx:title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title>
    <cx:plotArea>
      <cx:plotAreaRegion>
        <cx:series layoutId="boxWhisker" uniqueId="{76899DCC-F66D-4DBF-BD75-F48A378E540F}">
          <cx:tx>
            <cx:txData>
              <cx:f>_xlchart.v1.9</cx:f>
              <cx:v>Time daily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Calibri" panose="020F0502020204030204"/>
          </a:endParaRPr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101600</xdr:rowOff>
    </xdr:from>
    <xdr:to>
      <xdr:col>5</xdr:col>
      <xdr:colOff>304800</xdr:colOff>
      <xdr:row>28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56E57B-C956-4C69-94A2-F43E50134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</xdr:colOff>
      <xdr:row>9</xdr:row>
      <xdr:rowOff>114300</xdr:rowOff>
    </xdr:from>
    <xdr:to>
      <xdr:col>15</xdr:col>
      <xdr:colOff>88900</xdr:colOff>
      <xdr:row>28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398CBB-BC70-4F65-ADE8-35D185039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35</xdr:col>
      <xdr:colOff>193675</xdr:colOff>
      <xdr:row>7</xdr:row>
      <xdr:rowOff>88900</xdr:rowOff>
    </xdr:from>
    <xdr:to>
      <xdr:col>41</xdr:col>
      <xdr:colOff>371475</xdr:colOff>
      <xdr:row>22</xdr:row>
      <xdr:rowOff>69850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BF43AC7-DD48-46B3-80E7-E884F20121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158750</xdr:colOff>
      <xdr:row>16</xdr:row>
      <xdr:rowOff>12700</xdr:rowOff>
    </xdr:from>
    <xdr:to>
      <xdr:col>34</xdr:col>
      <xdr:colOff>488950</xdr:colOff>
      <xdr:row>36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687000F-0977-4470-937D-8B7240C337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57150</xdr:colOff>
      <xdr:row>9</xdr:row>
      <xdr:rowOff>101600</xdr:rowOff>
    </xdr:from>
    <xdr:to>
      <xdr:col>25</xdr:col>
      <xdr:colOff>298450</xdr:colOff>
      <xdr:row>28</xdr:row>
      <xdr:rowOff>133350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2FC19CF-B167-4533-BB03-2B39589DFC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41</xdr:col>
      <xdr:colOff>463550</xdr:colOff>
      <xdr:row>14</xdr:row>
      <xdr:rowOff>38100</xdr:rowOff>
    </xdr:from>
    <xdr:to>
      <xdr:col>50</xdr:col>
      <xdr:colOff>31750</xdr:colOff>
      <xdr:row>29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CC58E00-3FFF-4AB3-979D-24335591E7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50</xdr:col>
      <xdr:colOff>609600</xdr:colOff>
      <xdr:row>17</xdr:row>
      <xdr:rowOff>120650</xdr:rowOff>
    </xdr:from>
    <xdr:to>
      <xdr:col>58</xdr:col>
      <xdr:colOff>933450</xdr:colOff>
      <xdr:row>36</xdr:row>
      <xdr:rowOff>101600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945DCEA-C63C-4719-B3F5-1F70CDA7D3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558800</xdr:colOff>
      <xdr:row>4</xdr:row>
      <xdr:rowOff>31750</xdr:rowOff>
    </xdr:from>
    <xdr:to>
      <xdr:col>8</xdr:col>
      <xdr:colOff>254000</xdr:colOff>
      <xdr:row>19</xdr:row>
      <xdr:rowOff>12700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7E88E2C-5751-4A39-9C8B-A9E42CF56A9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58800" y="7683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0</xdr:col>
      <xdr:colOff>539750</xdr:colOff>
      <xdr:row>20</xdr:row>
      <xdr:rowOff>165100</xdr:rowOff>
    </xdr:from>
    <xdr:to>
      <xdr:col>8</xdr:col>
      <xdr:colOff>279400</xdr:colOff>
      <xdr:row>33</xdr:row>
      <xdr:rowOff>139700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3920F6B-2D3A-454D-A24D-BE255467F688}"/>
            </a:ext>
          </a:extLst>
        </xdr:cNvPr>
        <xdr:cNvSpPr txBox="1"/>
      </xdr:nvSpPr>
      <xdr:spPr>
        <a:xfrm>
          <a:off x="539750" y="3848100"/>
          <a:ext cx="4616450" cy="2368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/>
            <a:t>The Box and Whisker Plot for “Time daily” shows how much time respondents spend on social media each day.Most participants spend between 1 and 8 hours daily, with a median value of around 4 to 5 hours.One respondent reported 24 hours, which appears as an outlier and suggests unrealistic or extreme usage.This visualization helps to identify the typical usage range and highlight unusual responses</a:t>
          </a:r>
          <a:r>
            <a:rPr lang="en-US" sz="1100"/>
            <a:t>.</a:t>
          </a:r>
        </a:p>
      </xdr:txBody>
    </xdr:sp>
    <xdr:clientData/>
  </xdr:twoCellAnchor>
  <xdr:twoCellAnchor>
    <xdr:from>
      <xdr:col>9</xdr:col>
      <xdr:colOff>260350</xdr:colOff>
      <xdr:row>4</xdr:row>
      <xdr:rowOff>44450</xdr:rowOff>
    </xdr:from>
    <xdr:to>
      <xdr:col>16</xdr:col>
      <xdr:colOff>565150</xdr:colOff>
      <xdr:row>19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1F6115EC-E490-47FB-B651-476F4B4450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46750" y="781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44450</xdr:colOff>
      <xdr:row>20</xdr:row>
      <xdr:rowOff>165100</xdr:rowOff>
    </xdr:from>
    <xdr:to>
      <xdr:col>16</xdr:col>
      <xdr:colOff>488950</xdr:colOff>
      <xdr:row>34</xdr:row>
      <xdr:rowOff>12700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49CD3DF-79D4-41E5-885A-48AC0E9173AE}"/>
            </a:ext>
          </a:extLst>
        </xdr:cNvPr>
        <xdr:cNvSpPr txBox="1"/>
      </xdr:nvSpPr>
      <xdr:spPr>
        <a:xfrm>
          <a:off x="5530850" y="3848100"/>
          <a:ext cx="4711700" cy="2425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The Box and Whisker Plot for “Time daily” shows how much time respondents spend on social media each day.Most participants spend between 1 and 8 hours daily, with a median value of around 4 to 5 hours.One respondent reported 24 hours, which appears as an outlier and suggests unrealistic or extreme usage.This visualization helps to identify the typical usage range and highlight unusual responses.</a:t>
          </a:r>
        </a:p>
      </xdr:txBody>
    </xdr:sp>
    <xdr:clientData/>
  </xdr:twoCellAnchor>
  <xdr:twoCellAnchor>
    <xdr:from>
      <xdr:col>18</xdr:col>
      <xdr:colOff>184150</xdr:colOff>
      <xdr:row>4</xdr:row>
      <xdr:rowOff>44450</xdr:rowOff>
    </xdr:from>
    <xdr:to>
      <xdr:col>26</xdr:col>
      <xdr:colOff>279400</xdr:colOff>
      <xdr:row>19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4EDADAC9-3F7A-4027-9AD7-061A87A76C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56950" y="781050"/>
              <a:ext cx="49720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18</xdr:col>
      <xdr:colOff>107950</xdr:colOff>
      <xdr:row>20</xdr:row>
      <xdr:rowOff>95250</xdr:rowOff>
    </xdr:from>
    <xdr:to>
      <xdr:col>26</xdr:col>
      <xdr:colOff>330200</xdr:colOff>
      <xdr:row>28</xdr:row>
      <xdr:rowOff>57150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EC1D07B-CAAC-4BF1-9B7F-47DC287945F9}"/>
            </a:ext>
          </a:extLst>
        </xdr:cNvPr>
        <xdr:cNvSpPr txBox="1"/>
      </xdr:nvSpPr>
      <xdr:spPr>
        <a:xfrm>
          <a:off x="11080750" y="3778250"/>
          <a:ext cx="5099050" cy="1435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/>
            <a:t>The Box and Whisker plot shows that the time spent on</a:t>
          </a:r>
          <a:r>
            <a:rPr lang="en-US" sz="1400" b="1" baseline="0"/>
            <a:t> </a:t>
          </a:r>
          <a:r>
            <a:rPr lang="fr-FR" sz="1400" b="1" baseline="0"/>
            <a:t>Facebook</a:t>
          </a:r>
          <a:r>
            <a:rPr lang="en-US" sz="1400" b="1"/>
            <a:t> is higher compared to other social media platforms. Instagram and Snapchat have lower median times, meaning users spend less time there. TikTok has a moderate level of usage with less variation.</a:t>
          </a:r>
        </a:p>
      </xdr:txBody>
    </xdr:sp>
    <xdr:clientData/>
  </xdr:twoCellAnchor>
  <xdr:twoCellAnchor>
    <xdr:from>
      <xdr:col>27</xdr:col>
      <xdr:colOff>215900</xdr:colOff>
      <xdr:row>4</xdr:row>
      <xdr:rowOff>44450</xdr:rowOff>
    </xdr:from>
    <xdr:to>
      <xdr:col>34</xdr:col>
      <xdr:colOff>520700</xdr:colOff>
      <xdr:row>19</xdr:row>
      <xdr:rowOff>25400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F5432BF8-92B3-4A8C-80D2-0476B162C84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75100" y="781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27</xdr:col>
      <xdr:colOff>57150</xdr:colOff>
      <xdr:row>20</xdr:row>
      <xdr:rowOff>57150</xdr:rowOff>
    </xdr:from>
    <xdr:to>
      <xdr:col>35</xdr:col>
      <xdr:colOff>31750</xdr:colOff>
      <xdr:row>23</xdr:row>
      <xdr:rowOff>171450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CA51E47-BA9A-4716-BB92-6BAE60A22EAD}"/>
            </a:ext>
          </a:extLst>
        </xdr:cNvPr>
        <xdr:cNvSpPr txBox="1"/>
      </xdr:nvSpPr>
      <xdr:spPr>
        <a:xfrm>
          <a:off x="16516350" y="3740150"/>
          <a:ext cx="4851400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Box and Whisker plot shows that the 30+ spent more time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on social media than other</a:t>
          </a:r>
          <a:endParaRPr lang="en-US" sz="1400">
            <a:effectLst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>
            <a:effectLst/>
          </a:endParaRPr>
        </a:p>
        <a:p>
          <a:endParaRPr lang="en-US" sz="14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36.805973726849" createdVersion="7" refreshedVersion="7" minRefreshableVersion="3" recordCount="29" xr:uid="{590F75A9-DEFF-4F29-9D0C-DB6748F4FA87}">
  <cacheSource type="worksheet">
    <worksheetSource name="Table1"/>
  </cacheSource>
  <cacheFields count="25">
    <cacheField name="ID" numFmtId="0">
      <sharedItems count="29">
        <s v="A1234"/>
        <s v="A1235"/>
        <s v="A1236"/>
        <s v="A1237"/>
        <s v="A1238"/>
        <s v="A1239"/>
        <s v="A1240"/>
        <s v="A1241"/>
        <s v="A1242"/>
        <s v="A1243"/>
        <s v="A1244"/>
        <s v="A1245"/>
        <s v="A1246"/>
        <s v="A1247"/>
        <s v="A1248"/>
        <s v="A1249"/>
        <s v="A1250"/>
        <s v="A1251"/>
        <s v="A1252"/>
        <s v="A1253"/>
        <s v="A1254"/>
        <s v="A1255"/>
        <s v="A1256"/>
        <s v="A1257"/>
        <s v="A1258"/>
        <s v="A1259"/>
        <s v="A1260"/>
        <s v="A1261"/>
        <s v="A1262"/>
      </sharedItems>
    </cacheField>
    <cacheField name="Code" numFmtId="0">
      <sharedItems/>
    </cacheField>
    <cacheField name="Date" numFmtId="14">
      <sharedItems containsSemiMixedTypes="0" containsNonDate="0" containsDate="1" containsString="0" minDate="2025-05-10T00:00:00" maxDate="2025-06-05T00:00:00"/>
    </cacheField>
    <cacheField name="Weekday" numFmtId="14">
      <sharedItems containsSemiMixedTypes="0" containsNonDate="0" containsDate="1" containsString="0" minDate="2025-06-10T00:00:00" maxDate="2025-10-25T00:00:00"/>
    </cacheField>
    <cacheField name="Name" numFmtId="0">
      <sharedItems/>
    </cacheField>
    <cacheField name="Gender" numFmtId="0">
      <sharedItems count="2">
        <s v="Female"/>
        <s v="Male"/>
      </sharedItems>
    </cacheField>
    <cacheField name="Age " numFmtId="0">
      <sharedItems count="3">
        <s v="20-25"/>
        <s v="25-30"/>
        <s v="30 +"/>
      </sharedItems>
    </cacheField>
    <cacheField name="Highest  Education " numFmtId="0">
      <sharedItems count="3">
        <s v="Postgraduate"/>
        <s v="University"/>
        <s v="Secondary"/>
      </sharedItems>
    </cacheField>
    <cacheField name=" social media use(Yes/No)" numFmtId="0">
      <sharedItems/>
    </cacheField>
    <cacheField name=" regularly social media platforms" numFmtId="0">
      <sharedItems containsBlank="1" count="5">
        <s v="Facebook"/>
        <s v="Instagram"/>
        <s v="WhatsApp"/>
        <s v="Tiktok"/>
        <m/>
      </sharedItems>
    </cacheField>
    <cacheField name="H" numFmtId="0">
      <sharedItems containsBlank="1"/>
    </cacheField>
    <cacheField name="I" numFmtId="0">
      <sharedItems containsBlank="1"/>
    </cacheField>
    <cacheField name="G" numFmtId="0">
      <sharedItems containsBlank="1"/>
    </cacheField>
    <cacheField name="Facebook" numFmtId="0">
      <sharedItems containsSemiMixedTypes="0" containsString="0" containsNumber="1" containsInteger="1" minValue="0" maxValue="1" count="2">
        <n v="1"/>
        <n v="0"/>
      </sharedItems>
    </cacheField>
    <cacheField name="WhatsApp" numFmtId="0">
      <sharedItems containsSemiMixedTypes="0" containsString="0" containsNumber="1" containsInteger="1" minValue="0" maxValue="1" count="2">
        <n v="0"/>
        <n v="1"/>
      </sharedItems>
    </cacheField>
    <cacheField name="Instagram" numFmtId="0">
      <sharedItems containsSemiMixedTypes="0" containsString="0" containsNumber="1" containsInteger="1" minValue="0" maxValue="1" count="2">
        <n v="0"/>
        <n v="1"/>
      </sharedItems>
    </cacheField>
    <cacheField name="Tiktok" numFmtId="0">
      <sharedItems containsSemiMixedTypes="0" containsString="0" containsNumber="1" containsInteger="1" minValue="0" maxValue="1" count="2">
        <n v="0"/>
        <n v="1"/>
      </sharedItems>
    </cacheField>
    <cacheField name="Telegram" numFmtId="0">
      <sharedItems containsSemiMixedTypes="0" containsString="0" containsNumber="1" containsInteger="1" minValue="0" maxValue="1" count="2">
        <n v="0"/>
        <n v="1"/>
      </sharedItems>
    </cacheField>
    <cacheField name="Number of followed account" numFmtId="0">
      <sharedItems containsBlank="1" containsMixedTypes="1" containsNumber="1" containsInteger="1" minValue="0" maxValue="0"/>
    </cacheField>
    <cacheField name="Main reason" numFmtId="0">
      <sharedItems count="10">
        <s v="Entertainment"/>
        <s v="Work"/>
        <s v="Study"/>
        <s v="Other"/>
        <s v="Phoneless"/>
        <s v="Study;Work;Entertainment"/>
        <s v="Study;Entertainment"/>
        <s v="Study;Work"/>
        <s v="Entertainment;Other"/>
        <s v="Study;Work;Entertainment;Other"/>
      </sharedItems>
    </cacheField>
    <cacheField name="Entertainment" numFmtId="0">
      <sharedItems containsSemiMixedTypes="0" containsString="0" containsNumber="1" containsInteger="1" minValue="0" maxValue="1"/>
    </cacheField>
    <cacheField name="Work" numFmtId="0">
      <sharedItems containsSemiMixedTypes="0" containsString="0" containsNumber="1" containsInteger="1" minValue="0" maxValue="1"/>
    </cacheField>
    <cacheField name="Study" numFmtId="0">
      <sharedItems containsSemiMixedTypes="0" containsString="0" containsNumber="1" containsInteger="1" minValue="0" maxValue="1"/>
    </cacheField>
    <cacheField name="Other" numFmtId="0">
      <sharedItems containsSemiMixedTypes="0" containsString="0" containsNumber="1" containsInteger="1" minValue="0" maxValue="1"/>
    </cacheField>
    <cacheField name="Time daily" numFmtId="0">
      <sharedItems containsSemiMixedTypes="0" containsString="0" containsNumber="1" containsInteger="1" minValue="0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x v="0"/>
    <s v="ABC2345"/>
    <d v="2025-05-10T00:00:00"/>
    <d v="2025-10-24T00:00:00"/>
    <s v="Waly"/>
    <x v="0"/>
    <x v="0"/>
    <x v="0"/>
    <s v="Yes"/>
    <x v="0"/>
    <m/>
    <m/>
    <m/>
    <x v="0"/>
    <x v="0"/>
    <x v="0"/>
    <x v="0"/>
    <x v="0"/>
    <s v="More than 100"/>
    <x v="0"/>
    <n v="1"/>
    <n v="0"/>
    <n v="0"/>
    <n v="0"/>
    <n v="1"/>
  </r>
  <r>
    <x v="1"/>
    <s v="ABC2346"/>
    <d v="2025-05-11T00:00:00"/>
    <d v="2025-06-10T00:00:00"/>
    <s v="Benjamin Zoum"/>
    <x v="1"/>
    <x v="1"/>
    <x v="1"/>
    <s v="Yes"/>
    <x v="0"/>
    <m/>
    <m/>
    <m/>
    <x v="0"/>
    <x v="0"/>
    <x v="0"/>
    <x v="0"/>
    <x v="0"/>
    <s v="51-100"/>
    <x v="1"/>
    <n v="0"/>
    <n v="1"/>
    <n v="0"/>
    <n v="0"/>
    <n v="3"/>
  </r>
  <r>
    <x v="2"/>
    <s v="ABC2347"/>
    <d v="2025-05-12T00:00:00"/>
    <d v="2025-07-10T00:00:00"/>
    <s v="Fwangle Jemimah "/>
    <x v="0"/>
    <x v="0"/>
    <x v="1"/>
    <s v="Yes"/>
    <x v="1"/>
    <m/>
    <m/>
    <m/>
    <x v="1"/>
    <x v="0"/>
    <x v="1"/>
    <x v="0"/>
    <x v="0"/>
    <s v="51-100"/>
    <x v="2"/>
    <n v="0"/>
    <n v="0"/>
    <n v="1"/>
    <n v="0"/>
    <n v="2"/>
  </r>
  <r>
    <x v="3"/>
    <s v="ABC2348"/>
    <d v="2025-05-13T00:00:00"/>
    <d v="2025-07-11T00:00:00"/>
    <s v="Kolouboye"/>
    <x v="0"/>
    <x v="2"/>
    <x v="2"/>
    <s v="Yes"/>
    <x v="0"/>
    <m/>
    <m/>
    <m/>
    <x v="0"/>
    <x v="0"/>
    <x v="0"/>
    <x v="0"/>
    <x v="0"/>
    <s v="51-100"/>
    <x v="0"/>
    <n v="1"/>
    <n v="0"/>
    <n v="0"/>
    <n v="0"/>
    <n v="1"/>
  </r>
  <r>
    <x v="4"/>
    <s v="ABC2349"/>
    <d v="2025-05-14T00:00:00"/>
    <d v="2025-07-12T00:00:00"/>
    <s v="Major Elijah "/>
    <x v="1"/>
    <x v="1"/>
    <x v="1"/>
    <s v="Yes"/>
    <x v="2"/>
    <m/>
    <m/>
    <m/>
    <x v="1"/>
    <x v="1"/>
    <x v="0"/>
    <x v="0"/>
    <x v="0"/>
    <s v="Less than 50"/>
    <x v="1"/>
    <n v="0"/>
    <n v="1"/>
    <n v="0"/>
    <n v="0"/>
    <n v="1"/>
  </r>
  <r>
    <x v="5"/>
    <s v="ABC2350"/>
    <d v="2025-05-12T00:00:00"/>
    <d v="2025-07-13T00:00:00"/>
    <s v="AãCha Avo Camara "/>
    <x v="0"/>
    <x v="2"/>
    <x v="1"/>
    <s v="Yes"/>
    <x v="0"/>
    <m/>
    <m/>
    <m/>
    <x v="0"/>
    <x v="0"/>
    <x v="0"/>
    <x v="0"/>
    <x v="0"/>
    <s v="More than 100"/>
    <x v="3"/>
    <n v="0"/>
    <n v="0"/>
    <n v="0"/>
    <n v="1"/>
    <n v="2"/>
  </r>
  <r>
    <x v="6"/>
    <s v="ABC2351"/>
    <d v="2025-05-13T00:00:00"/>
    <d v="2025-07-14T00:00:00"/>
    <s v="Annabelle Cissã©"/>
    <x v="0"/>
    <x v="0"/>
    <x v="1"/>
    <s v="Yes"/>
    <x v="2"/>
    <m/>
    <m/>
    <m/>
    <x v="1"/>
    <x v="1"/>
    <x v="0"/>
    <x v="0"/>
    <x v="0"/>
    <m/>
    <x v="3"/>
    <n v="0"/>
    <n v="0"/>
    <n v="0"/>
    <n v="1"/>
    <n v="3"/>
  </r>
  <r>
    <x v="7"/>
    <s v="ABC2352"/>
    <d v="2025-05-14T00:00:00"/>
    <d v="2025-07-15T00:00:00"/>
    <s v="Grace Liliane Biteghe"/>
    <x v="0"/>
    <x v="0"/>
    <x v="1"/>
    <s v="Yes"/>
    <x v="3"/>
    <s v="Instagram"/>
    <s v="Snapchat"/>
    <s v="WhatsApp"/>
    <x v="1"/>
    <x v="1"/>
    <x v="1"/>
    <x v="1"/>
    <x v="0"/>
    <s v="More than 100"/>
    <x v="3"/>
    <n v="0"/>
    <n v="0"/>
    <n v="0"/>
    <n v="1"/>
    <n v="1"/>
  </r>
  <r>
    <x v="8"/>
    <s v="ABC2353"/>
    <d v="2025-05-15T00:00:00"/>
    <d v="2025-07-16T00:00:00"/>
    <s v="Damawa"/>
    <x v="0"/>
    <x v="2"/>
    <x v="2"/>
    <s v="NO"/>
    <x v="4"/>
    <m/>
    <m/>
    <m/>
    <x v="1"/>
    <x v="0"/>
    <x v="0"/>
    <x v="0"/>
    <x v="0"/>
    <n v="0"/>
    <x v="4"/>
    <n v="0"/>
    <n v="0"/>
    <n v="0"/>
    <n v="0"/>
    <n v="0"/>
  </r>
  <r>
    <x v="9"/>
    <s v="ABC2354"/>
    <d v="2025-05-16T00:00:00"/>
    <d v="2025-07-17T00:00:00"/>
    <s v="Elisa"/>
    <x v="0"/>
    <x v="2"/>
    <x v="1"/>
    <s v="Yes"/>
    <x v="0"/>
    <s v="WhatsApp"/>
    <m/>
    <m/>
    <x v="0"/>
    <x v="1"/>
    <x v="0"/>
    <x v="0"/>
    <x v="0"/>
    <s v="51-100"/>
    <x v="5"/>
    <n v="1"/>
    <n v="1"/>
    <n v="1"/>
    <n v="0"/>
    <n v="2"/>
  </r>
  <r>
    <x v="10"/>
    <s v="ABC2355"/>
    <d v="2025-05-17T00:00:00"/>
    <d v="2025-07-18T00:00:00"/>
    <s v="Guillermo "/>
    <x v="1"/>
    <x v="0"/>
    <x v="2"/>
    <s v="Yes"/>
    <x v="0"/>
    <s v="Tiktok"/>
    <s v="WhatsApp"/>
    <s v="Telegram"/>
    <x v="0"/>
    <x v="1"/>
    <x v="0"/>
    <x v="1"/>
    <x v="1"/>
    <s v="More than 100"/>
    <x v="6"/>
    <n v="1"/>
    <n v="0"/>
    <n v="1"/>
    <n v="0"/>
    <n v="2"/>
  </r>
  <r>
    <x v="11"/>
    <s v="ABC2356"/>
    <d v="2025-05-18T00:00:00"/>
    <d v="2025-07-19T00:00:00"/>
    <s v="Santiago"/>
    <x v="1"/>
    <x v="0"/>
    <x v="2"/>
    <s v="Yes"/>
    <x v="0"/>
    <s v="Tiktok"/>
    <s v="WhatsApp"/>
    <m/>
    <x v="0"/>
    <x v="1"/>
    <x v="0"/>
    <x v="1"/>
    <x v="0"/>
    <s v="More than 100"/>
    <x v="0"/>
    <n v="1"/>
    <n v="0"/>
    <n v="0"/>
    <n v="0"/>
    <n v="2"/>
  </r>
  <r>
    <x v="12"/>
    <s v="ABC2357"/>
    <d v="2025-05-19T00:00:00"/>
    <d v="2025-07-20T00:00:00"/>
    <s v="Safia"/>
    <x v="0"/>
    <x v="0"/>
    <x v="2"/>
    <s v="Yes"/>
    <x v="1"/>
    <s v="Snapchat"/>
    <s v="WhatsApp"/>
    <m/>
    <x v="1"/>
    <x v="1"/>
    <x v="1"/>
    <x v="0"/>
    <x v="0"/>
    <s v="51-100"/>
    <x v="7"/>
    <n v="0"/>
    <n v="1"/>
    <n v="1"/>
    <n v="0"/>
    <n v="6"/>
  </r>
  <r>
    <x v="13"/>
    <s v="ABC2358"/>
    <d v="2025-05-20T00:00:00"/>
    <d v="2025-07-21T00:00:00"/>
    <s v="Lambert "/>
    <x v="1"/>
    <x v="2"/>
    <x v="2"/>
    <s v="Yes"/>
    <x v="0"/>
    <s v="WhatsApp"/>
    <m/>
    <m/>
    <x v="0"/>
    <x v="1"/>
    <x v="0"/>
    <x v="0"/>
    <x v="0"/>
    <s v="More than 100"/>
    <x v="8"/>
    <n v="1"/>
    <n v="0"/>
    <n v="0"/>
    <n v="1"/>
    <n v="8"/>
  </r>
  <r>
    <x v="14"/>
    <s v="ABC2359"/>
    <d v="2025-05-21T00:00:00"/>
    <d v="2025-07-22T00:00:00"/>
    <s v="Bernadette"/>
    <x v="0"/>
    <x v="1"/>
    <x v="1"/>
    <s v="Yes"/>
    <x v="0"/>
    <s v="Snapchat"/>
    <m/>
    <m/>
    <x v="0"/>
    <x v="0"/>
    <x v="0"/>
    <x v="0"/>
    <x v="0"/>
    <s v="More than 100"/>
    <x v="8"/>
    <n v="1"/>
    <n v="0"/>
    <n v="0"/>
    <n v="1"/>
    <n v="8"/>
  </r>
  <r>
    <x v="15"/>
    <s v="ABC2360"/>
    <d v="2025-05-22T00:00:00"/>
    <d v="2025-07-23T00:00:00"/>
    <s v="Douo"/>
    <x v="1"/>
    <x v="1"/>
    <x v="1"/>
    <s v="NO"/>
    <x v="4"/>
    <m/>
    <m/>
    <m/>
    <x v="1"/>
    <x v="0"/>
    <x v="0"/>
    <x v="0"/>
    <x v="0"/>
    <n v="0"/>
    <x v="4"/>
    <n v="0"/>
    <n v="0"/>
    <n v="0"/>
    <n v="0"/>
    <n v="0"/>
  </r>
  <r>
    <x v="16"/>
    <s v="ABC2361"/>
    <d v="2025-05-23T00:00:00"/>
    <d v="2025-07-24T00:00:00"/>
    <s v="Delphine"/>
    <x v="0"/>
    <x v="1"/>
    <x v="0"/>
    <s v="Yes"/>
    <x v="0"/>
    <s v="Tiktok"/>
    <s v="Instagram"/>
    <s v="Snapchat"/>
    <x v="0"/>
    <x v="0"/>
    <x v="1"/>
    <x v="1"/>
    <x v="0"/>
    <s v="More than 100"/>
    <x v="5"/>
    <n v="1"/>
    <n v="1"/>
    <n v="1"/>
    <n v="0"/>
    <n v="4"/>
  </r>
  <r>
    <x v="17"/>
    <s v="ABC2362"/>
    <d v="2025-05-24T00:00:00"/>
    <d v="2025-07-25T00:00:00"/>
    <s v="Jeanne"/>
    <x v="0"/>
    <x v="2"/>
    <x v="0"/>
    <s v="Yes"/>
    <x v="0"/>
    <s v="Tiktok"/>
    <m/>
    <m/>
    <x v="0"/>
    <x v="0"/>
    <x v="0"/>
    <x v="1"/>
    <x v="0"/>
    <s v="More than 100"/>
    <x v="9"/>
    <n v="1"/>
    <n v="1"/>
    <n v="1"/>
    <n v="1"/>
    <n v="4"/>
  </r>
  <r>
    <x v="18"/>
    <s v="ABC2363"/>
    <d v="2025-05-25T00:00:00"/>
    <d v="2025-07-26T00:00:00"/>
    <s v="Sianea"/>
    <x v="0"/>
    <x v="0"/>
    <x v="1"/>
    <s v="Yes"/>
    <x v="0"/>
    <s v="Tiktok"/>
    <s v="WhatsApp"/>
    <m/>
    <x v="0"/>
    <x v="1"/>
    <x v="0"/>
    <x v="1"/>
    <x v="0"/>
    <s v="More than 100"/>
    <x v="9"/>
    <n v="1"/>
    <n v="1"/>
    <n v="1"/>
    <n v="1"/>
    <n v="4"/>
  </r>
  <r>
    <x v="19"/>
    <s v="ABC2364"/>
    <d v="2025-05-26T00:00:00"/>
    <d v="2025-07-27T00:00:00"/>
    <s v="Zeze"/>
    <x v="1"/>
    <x v="1"/>
    <x v="1"/>
    <s v="Yes"/>
    <x v="0"/>
    <s v="Tiktok"/>
    <s v="Instagram"/>
    <s v="WhatsApp"/>
    <x v="0"/>
    <x v="1"/>
    <x v="1"/>
    <x v="1"/>
    <x v="0"/>
    <s v="More than 100"/>
    <x v="6"/>
    <n v="1"/>
    <n v="0"/>
    <n v="1"/>
    <n v="0"/>
    <n v="3"/>
  </r>
  <r>
    <x v="20"/>
    <s v="ABC2365"/>
    <d v="2025-05-27T00:00:00"/>
    <d v="2025-07-28T00:00:00"/>
    <s v="Marie"/>
    <x v="0"/>
    <x v="0"/>
    <x v="1"/>
    <s v="Yes"/>
    <x v="0"/>
    <s v="Tiktok"/>
    <m/>
    <m/>
    <x v="0"/>
    <x v="0"/>
    <x v="0"/>
    <x v="1"/>
    <x v="0"/>
    <s v="More than 100"/>
    <x v="6"/>
    <n v="1"/>
    <n v="0"/>
    <n v="1"/>
    <n v="0"/>
    <n v="8"/>
  </r>
  <r>
    <x v="21"/>
    <s v="ABC2366"/>
    <d v="2025-05-28T00:00:00"/>
    <d v="2025-07-29T00:00:00"/>
    <s v="Denise"/>
    <x v="0"/>
    <x v="0"/>
    <x v="1"/>
    <s v="Yes"/>
    <x v="0"/>
    <m/>
    <m/>
    <m/>
    <x v="0"/>
    <x v="0"/>
    <x v="0"/>
    <x v="0"/>
    <x v="0"/>
    <s v="More than 100"/>
    <x v="0"/>
    <n v="1"/>
    <n v="0"/>
    <n v="0"/>
    <n v="0"/>
    <n v="2"/>
  </r>
  <r>
    <x v="22"/>
    <s v="ABC2367"/>
    <d v="2025-05-29T00:00:00"/>
    <d v="2025-07-30T00:00:00"/>
    <s v="Kekoura"/>
    <x v="1"/>
    <x v="1"/>
    <x v="0"/>
    <s v="NO"/>
    <x v="4"/>
    <m/>
    <m/>
    <m/>
    <x v="1"/>
    <x v="0"/>
    <x v="0"/>
    <x v="0"/>
    <x v="0"/>
    <n v="0"/>
    <x v="4"/>
    <n v="0"/>
    <n v="0"/>
    <n v="0"/>
    <n v="0"/>
    <n v="0"/>
  </r>
  <r>
    <x v="23"/>
    <s v="ABC2368"/>
    <d v="2025-05-30T00:00:00"/>
    <d v="2025-07-31T00:00:00"/>
    <s v="Daniel"/>
    <x v="1"/>
    <x v="2"/>
    <x v="1"/>
    <s v="Yes"/>
    <x v="0"/>
    <s v="WhatsApp"/>
    <m/>
    <m/>
    <x v="0"/>
    <x v="1"/>
    <x v="0"/>
    <x v="0"/>
    <x v="0"/>
    <s v="Less than 50"/>
    <x v="2"/>
    <n v="0"/>
    <n v="0"/>
    <n v="1"/>
    <n v="0"/>
    <n v="8"/>
  </r>
  <r>
    <x v="24"/>
    <s v="ABC2369"/>
    <d v="2025-05-31T00:00:00"/>
    <d v="2025-08-01T00:00:00"/>
    <s v="Joseph "/>
    <x v="0"/>
    <x v="2"/>
    <x v="0"/>
    <s v="Yes"/>
    <x v="0"/>
    <s v="WhatsApp"/>
    <m/>
    <m/>
    <x v="0"/>
    <x v="1"/>
    <x v="0"/>
    <x v="0"/>
    <x v="0"/>
    <s v="Less than 50"/>
    <x v="1"/>
    <n v="0"/>
    <n v="1"/>
    <n v="0"/>
    <n v="0"/>
    <n v="24"/>
  </r>
  <r>
    <x v="25"/>
    <s v="ABC2370"/>
    <d v="2025-06-01T00:00:00"/>
    <d v="2025-08-02T00:00:00"/>
    <s v="Josephine"/>
    <x v="0"/>
    <x v="0"/>
    <x v="2"/>
    <s v="NO"/>
    <x v="4"/>
    <m/>
    <m/>
    <m/>
    <x v="1"/>
    <x v="0"/>
    <x v="0"/>
    <x v="0"/>
    <x v="0"/>
    <n v="0"/>
    <x v="4"/>
    <n v="0"/>
    <n v="0"/>
    <n v="0"/>
    <n v="0"/>
    <n v="0"/>
  </r>
  <r>
    <x v="26"/>
    <s v="ABC2371"/>
    <d v="2025-06-02T00:00:00"/>
    <d v="2025-08-03T00:00:00"/>
    <s v="Koligna"/>
    <x v="1"/>
    <x v="2"/>
    <x v="0"/>
    <s v="Yes"/>
    <x v="0"/>
    <s v="Tiktok"/>
    <s v="WhatsApp"/>
    <s v="Telegram"/>
    <x v="0"/>
    <x v="1"/>
    <x v="0"/>
    <x v="1"/>
    <x v="1"/>
    <s v="More than 100"/>
    <x v="9"/>
    <n v="1"/>
    <n v="1"/>
    <n v="1"/>
    <n v="1"/>
    <n v="6"/>
  </r>
  <r>
    <x v="27"/>
    <s v="ABC2372"/>
    <d v="2025-06-03T00:00:00"/>
    <d v="2025-08-04T00:00:00"/>
    <s v="Martine"/>
    <x v="0"/>
    <x v="2"/>
    <x v="1"/>
    <s v="Yes"/>
    <x v="0"/>
    <s v="Tiktok"/>
    <m/>
    <m/>
    <x v="0"/>
    <x v="0"/>
    <x v="0"/>
    <x v="1"/>
    <x v="0"/>
    <s v="More than 100"/>
    <x v="0"/>
    <n v="1"/>
    <n v="0"/>
    <n v="0"/>
    <n v="0"/>
    <n v="4"/>
  </r>
  <r>
    <x v="28"/>
    <s v="ABC2373"/>
    <d v="2025-06-04T00:00:00"/>
    <d v="2025-08-05T00:00:00"/>
    <s v="Junior"/>
    <x v="1"/>
    <x v="1"/>
    <x v="2"/>
    <s v="Yes"/>
    <x v="0"/>
    <s v="WhatsApp"/>
    <m/>
    <m/>
    <x v="0"/>
    <x v="1"/>
    <x v="0"/>
    <x v="0"/>
    <x v="0"/>
    <s v="Less than 50"/>
    <x v="8"/>
    <n v="1"/>
    <n v="0"/>
    <n v="0"/>
    <n v="1"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0168A0-2D1D-4B83-A102-7C310E70FC9C}" name="PivotTable7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6">
  <location ref="AF3:AG14" firstHeaderRow="1" firstDataRow="1" firstDataCol="1"/>
  <pivotFields count="25">
    <pivotField dataField="1"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8"/>
        <item x="3"/>
        <item x="4"/>
        <item x="2"/>
        <item x="6"/>
        <item x="7"/>
        <item x="5"/>
        <item x="9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ID" fld="0" subtotal="count" baseField="0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3403C1-3CA4-4940-B0C4-7960939568FD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M3:N7" firstHeaderRow="1" firstDataRow="1" firstDataCol="1"/>
  <pivotFields count="25">
    <pivotField dataField="1" showAll="0"/>
    <pivotField showAll="0"/>
    <pivotField numFmtId="14" showAll="0"/>
    <pivotField numFmtId="14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ID" fld="0" subtotal="count" baseField="0" baseItem="0"/>
  </dataFields>
  <chartFormats count="1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0D9321-EB49-4891-888A-0BC4B882E3F4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A3:AB9" firstHeaderRow="1" firstDataRow="1" firstDataCol="1"/>
  <pivotFields count="25">
    <pivotField dataField="1"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003A09-1B07-443C-A9E1-0CB72EEBBD9D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4">
  <location ref="T3:U6" firstHeaderRow="1" firstDataRow="1" firstDataCol="1"/>
  <pivotFields count="25">
    <pivotField showAll="0"/>
    <pivotField showAll="0"/>
    <pivotField numFmtId="14" showAll="0"/>
    <pivotField numFmtId="1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Average of Time daily" fld="24" subtotal="average" baseField="0" baseItem="0"/>
  </dataFields>
  <chartFormats count="1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90A65D-090B-4809-A736-C7CE136EF62B}" name="PivotTable10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BB3:BE15" firstHeaderRow="1" firstDataRow="2" firstDataCol="1"/>
  <pivotFields count="25">
    <pivotField dataField="1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numFmtId="14" showAll="0"/>
    <pivotField numFmtId="14"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8"/>
        <item x="3"/>
        <item x="4"/>
        <item x="2"/>
        <item x="6"/>
        <item x="7"/>
        <item x="5"/>
        <item x="9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19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3">
    <i>
      <x/>
    </i>
    <i>
      <x v="1"/>
    </i>
    <i t="grand">
      <x/>
    </i>
  </colItems>
  <dataFields count="1">
    <dataField name="Count of ID" fld="0" subtotal="count" baseField="0" baseItem="0"/>
  </dataFields>
  <chartFormats count="2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63456F-8CD6-4DCD-A187-05BF16503BD2}" name="PivotTable8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25">
  <location ref="AK3:AL7" firstHeaderRow="1" firstDataRow="1" firstDataCol="1"/>
  <pivotFields count="25">
    <pivotField showAll="0"/>
    <pivotField showAll="0"/>
    <pivotField numFmtId="14" showAll="0"/>
    <pivotField numFmtId="14"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ime daily" fld="24" baseField="0" baseItem="0"/>
  </dataFields>
  <chartFormats count="1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F1151E-C9D1-4489-B3F4-A2CE1EFEE7F4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:B6" firstHeaderRow="1" firstDataRow="1" firstDataCol="1"/>
  <pivotFields count="25">
    <pivotField dataField="1" showAl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showAll="0"/>
    <pivotField numFmtId="14" showAll="0"/>
    <pivotField numFmtId="14" showAll="0"/>
    <pivotField showAll="0"/>
    <pivotField axis="axisRow" showAll="0">
      <items count="3">
        <item x="0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ID" fld="0" subtotal="count" baseField="0" baseItem="0"/>
  </dataFields>
  <chartFormats count="3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DCE95C-C591-49F8-BDFA-D430C6323862}" name="PivotTable9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7">
  <location ref="AR3:AU10" firstHeaderRow="1" firstDataRow="2" firstDataCol="1"/>
  <pivotFields count="25">
    <pivotField dataField="1" showAll="0"/>
    <pivotField showAll="0"/>
    <pivotField numFmtId="14" showAll="0"/>
    <pivotField numFmtId="14"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ID" fld="0" subtotal="count" baseField="0" baseItem="0"/>
  </dataFields>
  <chartFormats count="2">
    <chartFormat chart="6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B30" totalsRowShown="0">
  <autoFilter ref="A1:AB30" xr:uid="{00000000-0009-0000-0100-000001000000}"/>
  <tableColumns count="28">
    <tableColumn id="1" xr3:uid="{00000000-0010-0000-0000-000001000000}" name="ID"/>
    <tableColumn id="2" xr3:uid="{00000000-0010-0000-0000-000002000000}" name="Code"/>
    <tableColumn id="3" xr3:uid="{00000000-0010-0000-0000-000003000000}" name="Date" dataDxfId="2"/>
    <tableColumn id="4" xr3:uid="{00000000-0010-0000-0000-000004000000}" name="Weekday" dataDxfId="1"/>
    <tableColumn id="5" xr3:uid="{00000000-0010-0000-0000-000005000000}" name="Name"/>
    <tableColumn id="6" xr3:uid="{00000000-0010-0000-0000-000006000000}" name="Gender"/>
    <tableColumn id="7" xr3:uid="{00000000-0010-0000-0000-000007000000}" name="Age "/>
    <tableColumn id="8" xr3:uid="{00000000-0010-0000-0000-000008000000}" name="Highest  Education "/>
    <tableColumn id="9" xr3:uid="{00000000-0010-0000-0000-000009000000}" name=" social media use(Yes/No)"/>
    <tableColumn id="10" xr3:uid="{00000000-0010-0000-0000-00000A000000}" name=" regularly social media platforms"/>
    <tableColumn id="11" xr3:uid="{00000000-0010-0000-0000-00000B000000}" name="H"/>
    <tableColumn id="12" xr3:uid="{00000000-0010-0000-0000-00000C000000}" name="I"/>
    <tableColumn id="13" xr3:uid="{00000000-0010-0000-0000-00000D000000}" name="G"/>
    <tableColumn id="14" xr3:uid="{00000000-0010-0000-0000-00000E000000}" name="Facebook"/>
    <tableColumn id="15" xr3:uid="{00000000-0010-0000-0000-00000F000000}" name="WhatsApp"/>
    <tableColumn id="16" xr3:uid="{00000000-0010-0000-0000-000010000000}" name="Instagram"/>
    <tableColumn id="17" xr3:uid="{00000000-0010-0000-0000-000011000000}" name="Tiktok"/>
    <tableColumn id="18" xr3:uid="{00000000-0010-0000-0000-000012000000}" name="Telegram"/>
    <tableColumn id="19" xr3:uid="{00000000-0010-0000-0000-000013000000}" name="Number of followed account"/>
    <tableColumn id="20" xr3:uid="{00000000-0010-0000-0000-000014000000}" name="Main reason"/>
    <tableColumn id="21" xr3:uid="{00000000-0010-0000-0000-000015000000}" name="Entertainment"/>
    <tableColumn id="22" xr3:uid="{00000000-0010-0000-0000-000016000000}" name="Work"/>
    <tableColumn id="23" xr3:uid="{00000000-0010-0000-0000-000017000000}" name="Study"/>
    <tableColumn id="24" xr3:uid="{00000000-0010-0000-0000-000018000000}" name="Other"/>
    <tableColumn id="25" xr3:uid="{00000000-0010-0000-0000-000019000000}" name="Time daily"/>
    <tableColumn id="30" xr3:uid="{45FB0E5F-A1B5-44C4-8CF6-449DA2706034}" name="Usage level" dataDxfId="0">
      <calculatedColumnFormula>VLOOKUP(Y2,  $AA$2:$AB$4,2,TRUE)</calculatedColumnFormula>
    </tableColumn>
    <tableColumn id="31" xr3:uid="{9E716932-1F2F-4386-9E0A-B40163D81010}" name="MinHour"/>
    <tableColumn id="32" xr3:uid="{CD41F27E-912C-4407-A9E8-785E99528449}" name="Usage level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0D880-933E-43FE-B007-8FEEED434D5F}">
  <dimension ref="A3:BE15"/>
  <sheetViews>
    <sheetView tabSelected="1" topLeftCell="AN13" workbookViewId="0">
      <selection activeCell="AY14" sqref="AY14"/>
    </sheetView>
  </sheetViews>
  <sheetFormatPr defaultRowHeight="14.5" x14ac:dyDescent="0.35"/>
  <cols>
    <col min="1" max="1" width="12.36328125" bestFit="1" customWidth="1"/>
    <col min="2" max="2" width="10.36328125" bestFit="1" customWidth="1"/>
    <col min="3" max="12" width="6" bestFit="1" customWidth="1"/>
    <col min="13" max="13" width="12.36328125" bestFit="1" customWidth="1"/>
    <col min="14" max="14" width="10.36328125" bestFit="1" customWidth="1"/>
    <col min="15" max="19" width="6" bestFit="1" customWidth="1"/>
    <col min="20" max="20" width="12.36328125" bestFit="1" customWidth="1"/>
    <col min="21" max="21" width="18.81640625" bestFit="1" customWidth="1"/>
    <col min="22" max="26" width="6" bestFit="1" customWidth="1"/>
    <col min="27" max="27" width="12.36328125" bestFit="1" customWidth="1"/>
    <col min="28" max="28" width="10.36328125" bestFit="1" customWidth="1"/>
    <col min="29" max="30" width="6" bestFit="1" customWidth="1"/>
    <col min="31" max="31" width="10.7265625" bestFit="1" customWidth="1"/>
    <col min="32" max="32" width="28.81640625" bestFit="1" customWidth="1"/>
    <col min="33" max="33" width="10.36328125" bestFit="1" customWidth="1"/>
    <col min="37" max="37" width="12.36328125" bestFit="1" customWidth="1"/>
    <col min="38" max="38" width="15.6328125" bestFit="1" customWidth="1"/>
    <col min="44" max="44" width="12.36328125" bestFit="1" customWidth="1"/>
    <col min="45" max="45" width="15.26953125" bestFit="1" customWidth="1"/>
    <col min="46" max="46" width="2.81640625" bestFit="1" customWidth="1"/>
    <col min="47" max="47" width="10.7265625" bestFit="1" customWidth="1"/>
    <col min="48" max="48" width="3.6328125" bestFit="1" customWidth="1"/>
    <col min="49" max="49" width="2.81640625" bestFit="1" customWidth="1"/>
    <col min="50" max="50" width="6.54296875" bestFit="1" customWidth="1"/>
    <col min="51" max="51" width="10.7265625" bestFit="1" customWidth="1"/>
    <col min="52" max="52" width="3.6328125" bestFit="1" customWidth="1"/>
    <col min="53" max="53" width="1.81640625" bestFit="1" customWidth="1"/>
    <col min="54" max="54" width="28.81640625" bestFit="1" customWidth="1"/>
    <col min="55" max="55" width="15.26953125" bestFit="1" customWidth="1"/>
    <col min="56" max="56" width="5" bestFit="1" customWidth="1"/>
    <col min="57" max="57" width="10.7265625" bestFit="1" customWidth="1"/>
    <col min="58" max="82" width="15.26953125" bestFit="1" customWidth="1"/>
    <col min="83" max="83" width="10.7265625" bestFit="1" customWidth="1"/>
  </cols>
  <sheetData>
    <row r="3" spans="1:57" x14ac:dyDescent="0.35">
      <c r="A3" s="6" t="s">
        <v>138</v>
      </c>
      <c r="B3" t="s">
        <v>141</v>
      </c>
      <c r="M3" s="6" t="s">
        <v>138</v>
      </c>
      <c r="N3" t="s">
        <v>141</v>
      </c>
      <c r="T3" s="6" t="s">
        <v>138</v>
      </c>
      <c r="U3" t="s">
        <v>144</v>
      </c>
      <c r="AA3" s="6" t="s">
        <v>138</v>
      </c>
      <c r="AB3" t="s">
        <v>141</v>
      </c>
      <c r="AF3" s="6" t="s">
        <v>138</v>
      </c>
      <c r="AG3" t="s">
        <v>141</v>
      </c>
      <c r="AK3" s="6" t="s">
        <v>138</v>
      </c>
      <c r="AL3" t="s">
        <v>143</v>
      </c>
      <c r="AR3" s="6" t="s">
        <v>141</v>
      </c>
      <c r="AS3" s="6" t="s">
        <v>142</v>
      </c>
      <c r="BB3" s="6" t="s">
        <v>141</v>
      </c>
      <c r="BC3" s="6" t="s">
        <v>142</v>
      </c>
    </row>
    <row r="4" spans="1:57" x14ac:dyDescent="0.35">
      <c r="A4" s="7" t="s">
        <v>21</v>
      </c>
      <c r="B4">
        <v>18</v>
      </c>
      <c r="M4" s="7" t="s">
        <v>23</v>
      </c>
      <c r="N4">
        <v>6</v>
      </c>
      <c r="T4" s="7" t="s">
        <v>21</v>
      </c>
      <c r="U4">
        <v>4.2222222222222223</v>
      </c>
      <c r="AA4" s="7" t="s">
        <v>25</v>
      </c>
      <c r="AB4">
        <v>20</v>
      </c>
      <c r="AF4" s="7" t="s">
        <v>16</v>
      </c>
      <c r="AG4">
        <v>5</v>
      </c>
      <c r="AK4" s="7" t="s">
        <v>22</v>
      </c>
      <c r="AL4">
        <v>31</v>
      </c>
      <c r="AR4" s="6" t="s">
        <v>138</v>
      </c>
      <c r="AS4">
        <v>0</v>
      </c>
      <c r="AT4">
        <v>1</v>
      </c>
      <c r="AU4" t="s">
        <v>140</v>
      </c>
      <c r="BB4" s="6" t="s">
        <v>138</v>
      </c>
      <c r="BC4" t="s">
        <v>21</v>
      </c>
      <c r="BD4" t="s">
        <v>28</v>
      </c>
      <c r="BE4" t="s">
        <v>140</v>
      </c>
    </row>
    <row r="5" spans="1:57" x14ac:dyDescent="0.35">
      <c r="A5" s="7" t="s">
        <v>28</v>
      </c>
      <c r="B5">
        <v>11</v>
      </c>
      <c r="M5" s="7" t="s">
        <v>35</v>
      </c>
      <c r="N5">
        <v>8</v>
      </c>
      <c r="T5" s="7" t="s">
        <v>28</v>
      </c>
      <c r="U5">
        <v>5.1818181818181817</v>
      </c>
      <c r="AA5" s="7" t="s">
        <v>11</v>
      </c>
      <c r="AB5">
        <v>2</v>
      </c>
      <c r="AF5" s="7" t="s">
        <v>53</v>
      </c>
      <c r="AG5">
        <v>3</v>
      </c>
      <c r="AK5" s="7" t="s">
        <v>29</v>
      </c>
      <c r="AL5">
        <v>43</v>
      </c>
      <c r="AR5" s="7" t="s">
        <v>25</v>
      </c>
      <c r="AT5">
        <v>20</v>
      </c>
      <c r="AU5">
        <v>20</v>
      </c>
      <c r="BB5" s="7" t="s">
        <v>16</v>
      </c>
      <c r="BC5">
        <v>4</v>
      </c>
      <c r="BD5">
        <v>1</v>
      </c>
      <c r="BE5">
        <v>5</v>
      </c>
    </row>
    <row r="6" spans="1:57" x14ac:dyDescent="0.35">
      <c r="A6" s="7" t="s">
        <v>140</v>
      </c>
      <c r="B6">
        <v>29</v>
      </c>
      <c r="M6" s="7" t="s">
        <v>30</v>
      </c>
      <c r="N6">
        <v>15</v>
      </c>
      <c r="T6" s="7" t="s">
        <v>140</v>
      </c>
      <c r="U6">
        <v>4.5862068965517242</v>
      </c>
      <c r="AA6" s="7" t="s">
        <v>12</v>
      </c>
      <c r="AB6">
        <v>1</v>
      </c>
      <c r="AF6" s="7" t="s">
        <v>19</v>
      </c>
      <c r="AG6">
        <v>3</v>
      </c>
      <c r="AK6" s="7" t="s">
        <v>34</v>
      </c>
      <c r="AL6">
        <v>59</v>
      </c>
      <c r="AR6" s="7" t="s">
        <v>11</v>
      </c>
      <c r="AS6">
        <v>2</v>
      </c>
      <c r="AU6">
        <v>2</v>
      </c>
      <c r="BB6" s="7" t="s">
        <v>53</v>
      </c>
      <c r="BC6">
        <v>1</v>
      </c>
      <c r="BD6">
        <v>2</v>
      </c>
      <c r="BE6">
        <v>3</v>
      </c>
    </row>
    <row r="7" spans="1:57" x14ac:dyDescent="0.35">
      <c r="M7" s="7" t="s">
        <v>140</v>
      </c>
      <c r="N7">
        <v>29</v>
      </c>
      <c r="AA7" s="7" t="s">
        <v>10</v>
      </c>
      <c r="AB7">
        <v>2</v>
      </c>
      <c r="AF7" s="7" t="s">
        <v>44</v>
      </c>
      <c r="AG7">
        <v>4</v>
      </c>
      <c r="AK7" s="7" t="s">
        <v>140</v>
      </c>
      <c r="AL7">
        <v>133</v>
      </c>
      <c r="AR7" s="7" t="s">
        <v>12</v>
      </c>
      <c r="AS7">
        <v>1</v>
      </c>
      <c r="AU7">
        <v>1</v>
      </c>
      <c r="BB7" s="7" t="s">
        <v>19</v>
      </c>
      <c r="BC7">
        <v>3</v>
      </c>
      <c r="BE7">
        <v>3</v>
      </c>
    </row>
    <row r="8" spans="1:57" x14ac:dyDescent="0.35">
      <c r="AA8" s="7" t="s">
        <v>139</v>
      </c>
      <c r="AB8">
        <v>4</v>
      </c>
      <c r="AF8" s="7" t="s">
        <v>18</v>
      </c>
      <c r="AG8">
        <v>2</v>
      </c>
      <c r="AR8" s="7" t="s">
        <v>10</v>
      </c>
      <c r="AS8">
        <v>2</v>
      </c>
      <c r="AU8">
        <v>2</v>
      </c>
      <c r="BB8" s="7" t="s">
        <v>44</v>
      </c>
      <c r="BC8">
        <v>2</v>
      </c>
      <c r="BD8">
        <v>2</v>
      </c>
      <c r="BE8">
        <v>4</v>
      </c>
    </row>
    <row r="9" spans="1:57" x14ac:dyDescent="0.35">
      <c r="AA9" s="7" t="s">
        <v>140</v>
      </c>
      <c r="AB9">
        <v>29</v>
      </c>
      <c r="AF9" s="7" t="s">
        <v>48</v>
      </c>
      <c r="AG9">
        <v>3</v>
      </c>
      <c r="AR9" s="7" t="s">
        <v>139</v>
      </c>
      <c r="AS9">
        <v>4</v>
      </c>
      <c r="AU9">
        <v>4</v>
      </c>
      <c r="BB9" s="7" t="s">
        <v>18</v>
      </c>
      <c r="BC9">
        <v>1</v>
      </c>
      <c r="BD9">
        <v>1</v>
      </c>
      <c r="BE9">
        <v>2</v>
      </c>
    </row>
    <row r="10" spans="1:57" x14ac:dyDescent="0.35">
      <c r="AF10" s="7" t="s">
        <v>51</v>
      </c>
      <c r="AG10">
        <v>1</v>
      </c>
      <c r="AR10" s="7" t="s">
        <v>140</v>
      </c>
      <c r="AS10">
        <v>9</v>
      </c>
      <c r="AT10">
        <v>20</v>
      </c>
      <c r="AU10">
        <v>29</v>
      </c>
      <c r="BB10" s="7" t="s">
        <v>48</v>
      </c>
      <c r="BC10">
        <v>1</v>
      </c>
      <c r="BD10">
        <v>2</v>
      </c>
      <c r="BE10">
        <v>3</v>
      </c>
    </row>
    <row r="11" spans="1:57" x14ac:dyDescent="0.35">
      <c r="AF11" s="7" t="s">
        <v>46</v>
      </c>
      <c r="AG11">
        <v>2</v>
      </c>
      <c r="BB11" s="7" t="s">
        <v>51</v>
      </c>
      <c r="BC11">
        <v>1</v>
      </c>
      <c r="BE11">
        <v>1</v>
      </c>
    </row>
    <row r="12" spans="1:57" x14ac:dyDescent="0.35">
      <c r="AF12" s="7" t="s">
        <v>58</v>
      </c>
      <c r="AG12">
        <v>3</v>
      </c>
      <c r="BB12" s="7" t="s">
        <v>46</v>
      </c>
      <c r="BC12">
        <v>2</v>
      </c>
      <c r="BE12">
        <v>2</v>
      </c>
    </row>
    <row r="13" spans="1:57" x14ac:dyDescent="0.35">
      <c r="AF13" s="7" t="s">
        <v>17</v>
      </c>
      <c r="AG13">
        <v>3</v>
      </c>
      <c r="BB13" s="7" t="s">
        <v>58</v>
      </c>
      <c r="BC13">
        <v>2</v>
      </c>
      <c r="BD13">
        <v>1</v>
      </c>
      <c r="BE13">
        <v>3</v>
      </c>
    </row>
    <row r="14" spans="1:57" x14ac:dyDescent="0.35">
      <c r="AF14" s="7" t="s">
        <v>140</v>
      </c>
      <c r="AG14">
        <v>29</v>
      </c>
      <c r="BB14" s="7" t="s">
        <v>17</v>
      </c>
      <c r="BC14">
        <v>1</v>
      </c>
      <c r="BD14">
        <v>2</v>
      </c>
      <c r="BE14">
        <v>3</v>
      </c>
    </row>
    <row r="15" spans="1:57" x14ac:dyDescent="0.35">
      <c r="BB15" s="7" t="s">
        <v>140</v>
      </c>
      <c r="BC15">
        <v>18</v>
      </c>
      <c r="BD15">
        <v>11</v>
      </c>
      <c r="BE15">
        <v>29</v>
      </c>
    </row>
  </sheetData>
  <pageMargins left="0.7" right="0.7" top="0.75" bottom="0.75" header="0.3" footer="0.3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30"/>
  <sheetViews>
    <sheetView topLeftCell="X1" workbookViewId="0">
      <selection activeCell="AK11" sqref="AK11"/>
    </sheetView>
  </sheetViews>
  <sheetFormatPr defaultRowHeight="14.5" x14ac:dyDescent="0.35"/>
  <cols>
    <col min="3" max="3" width="9.453125" bestFit="1" customWidth="1"/>
    <col min="4" max="4" width="10.6328125" customWidth="1"/>
    <col min="5" max="5" width="18.1796875" bestFit="1" customWidth="1"/>
    <col min="7" max="7" width="24.1796875" customWidth="1"/>
    <col min="8" max="8" width="29.90625" customWidth="1"/>
    <col min="9" max="11" width="9.54296875" bestFit="1" customWidth="1"/>
    <col min="12" max="12" width="10.81640625" customWidth="1"/>
    <col min="13" max="13" width="11.6328125" customWidth="1"/>
    <col min="14" max="14" width="11.26953125" customWidth="1"/>
    <col min="16" max="16" width="10.54296875" customWidth="1"/>
    <col min="17" max="17" width="26.6328125" customWidth="1"/>
    <col min="18" max="18" width="13.26953125" customWidth="1"/>
    <col min="19" max="19" width="15.08984375" customWidth="1"/>
    <col min="23" max="23" width="11.26953125" customWidth="1"/>
    <col min="26" max="26" width="15.26953125" customWidth="1"/>
  </cols>
  <sheetData>
    <row r="1" spans="1:37" x14ac:dyDescent="0.35">
      <c r="A1" t="s">
        <v>0</v>
      </c>
      <c r="B1" t="s">
        <v>99</v>
      </c>
      <c r="C1" t="s">
        <v>100</v>
      </c>
      <c r="D1" t="s">
        <v>101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25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131</v>
      </c>
      <c r="Z1" t="s">
        <v>150</v>
      </c>
      <c r="AA1" t="s">
        <v>145</v>
      </c>
      <c r="AB1" t="s">
        <v>151</v>
      </c>
    </row>
    <row r="2" spans="1:37" x14ac:dyDescent="0.35">
      <c r="A2" t="s">
        <v>70</v>
      </c>
      <c r="B2" t="s">
        <v>102</v>
      </c>
      <c r="C2" s="1">
        <v>45787</v>
      </c>
      <c r="D2" s="1">
        <v>45954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N2">
        <v>1</v>
      </c>
      <c r="O2">
        <v>0</v>
      </c>
      <c r="P2">
        <v>0</v>
      </c>
      <c r="Q2">
        <v>0</v>
      </c>
      <c r="R2">
        <v>0</v>
      </c>
      <c r="S2" t="s">
        <v>26</v>
      </c>
      <c r="T2" t="s">
        <v>16</v>
      </c>
      <c r="U2">
        <v>1</v>
      </c>
      <c r="V2">
        <v>0</v>
      </c>
      <c r="W2">
        <v>0</v>
      </c>
      <c r="X2">
        <v>0</v>
      </c>
      <c r="Y2">
        <v>1</v>
      </c>
      <c r="Z2" t="str">
        <f>VLOOKUP(Y2,  $AA$2:$AB$4,2,TRUE)</f>
        <v>Low</v>
      </c>
      <c r="AA2">
        <v>0</v>
      </c>
      <c r="AB2" t="s">
        <v>147</v>
      </c>
    </row>
    <row r="3" spans="1:37" x14ac:dyDescent="0.35">
      <c r="A3" t="s">
        <v>71</v>
      </c>
      <c r="B3" t="s">
        <v>103</v>
      </c>
      <c r="C3" s="1">
        <v>45788</v>
      </c>
      <c r="D3" s="1">
        <v>45818</v>
      </c>
      <c r="E3" t="s">
        <v>27</v>
      </c>
      <c r="F3" t="s">
        <v>28</v>
      </c>
      <c r="G3" t="s">
        <v>29</v>
      </c>
      <c r="H3" t="s">
        <v>30</v>
      </c>
      <c r="I3" t="s">
        <v>24</v>
      </c>
      <c r="J3" t="s">
        <v>25</v>
      </c>
      <c r="N3">
        <v>1</v>
      </c>
      <c r="O3">
        <v>0</v>
      </c>
      <c r="P3">
        <v>0</v>
      </c>
      <c r="Q3">
        <v>0</v>
      </c>
      <c r="R3">
        <v>0</v>
      </c>
      <c r="S3" t="s">
        <v>31</v>
      </c>
      <c r="T3" t="s">
        <v>17</v>
      </c>
      <c r="U3">
        <v>0</v>
      </c>
      <c r="V3">
        <v>1</v>
      </c>
      <c r="W3">
        <v>0</v>
      </c>
      <c r="X3">
        <v>0</v>
      </c>
      <c r="Y3">
        <v>3</v>
      </c>
      <c r="Z3" t="str">
        <f>VLOOKUP(Y3,  $AA$2:$AB$4,2,TRUE)</f>
        <v>Moderate</v>
      </c>
      <c r="AA3">
        <v>3</v>
      </c>
      <c r="AB3" t="s">
        <v>148</v>
      </c>
    </row>
    <row r="4" spans="1:37" x14ac:dyDescent="0.35">
      <c r="A4" t="s">
        <v>72</v>
      </c>
      <c r="B4" t="s">
        <v>104</v>
      </c>
      <c r="C4" s="1">
        <v>45789</v>
      </c>
      <c r="D4" s="1">
        <v>45848</v>
      </c>
      <c r="E4" t="s">
        <v>32</v>
      </c>
      <c r="F4" t="s">
        <v>21</v>
      </c>
      <c r="G4" t="s">
        <v>22</v>
      </c>
      <c r="H4" t="s">
        <v>30</v>
      </c>
      <c r="I4" t="s">
        <v>24</v>
      </c>
      <c r="J4" t="s">
        <v>11</v>
      </c>
      <c r="N4">
        <v>0</v>
      </c>
      <c r="O4">
        <v>0</v>
      </c>
      <c r="P4">
        <v>1</v>
      </c>
      <c r="Q4">
        <v>0</v>
      </c>
      <c r="R4">
        <v>0</v>
      </c>
      <c r="S4" t="s">
        <v>31</v>
      </c>
      <c r="T4" t="s">
        <v>18</v>
      </c>
      <c r="U4">
        <v>0</v>
      </c>
      <c r="V4">
        <v>0</v>
      </c>
      <c r="W4">
        <v>1</v>
      </c>
      <c r="X4">
        <v>0</v>
      </c>
      <c r="Y4">
        <v>2</v>
      </c>
      <c r="Z4" t="str">
        <f t="shared" ref="Z4:Z30" si="0">VLOOKUP(Y4,  $AA$2:$AB$4,2,TRUE)</f>
        <v>Low</v>
      </c>
      <c r="AA4">
        <v>6</v>
      </c>
      <c r="AB4" t="s">
        <v>149</v>
      </c>
    </row>
    <row r="5" spans="1:37" ht="18.5" x14ac:dyDescent="0.45">
      <c r="A5" t="s">
        <v>73</v>
      </c>
      <c r="B5" t="s">
        <v>105</v>
      </c>
      <c r="C5" s="1">
        <v>45790</v>
      </c>
      <c r="D5" s="1">
        <v>45849</v>
      </c>
      <c r="E5" t="s">
        <v>33</v>
      </c>
      <c r="F5" t="s">
        <v>21</v>
      </c>
      <c r="G5" t="s">
        <v>34</v>
      </c>
      <c r="H5" t="s">
        <v>35</v>
      </c>
      <c r="I5" t="s">
        <v>24</v>
      </c>
      <c r="J5" t="s">
        <v>25</v>
      </c>
      <c r="N5">
        <v>1</v>
      </c>
      <c r="O5">
        <v>0</v>
      </c>
      <c r="P5">
        <v>0</v>
      </c>
      <c r="Q5">
        <v>0</v>
      </c>
      <c r="R5">
        <v>0</v>
      </c>
      <c r="S5" t="s">
        <v>31</v>
      </c>
      <c r="T5" t="s">
        <v>16</v>
      </c>
      <c r="U5">
        <v>1</v>
      </c>
      <c r="V5">
        <v>0</v>
      </c>
      <c r="W5">
        <v>0</v>
      </c>
      <c r="X5">
        <v>0</v>
      </c>
      <c r="Y5">
        <v>1</v>
      </c>
      <c r="Z5" t="str">
        <f t="shared" si="0"/>
        <v>Low</v>
      </c>
      <c r="AD5" s="2" t="s">
        <v>132</v>
      </c>
      <c r="AK5" s="4" t="s">
        <v>136</v>
      </c>
    </row>
    <row r="6" spans="1:37" x14ac:dyDescent="0.35">
      <c r="A6" t="s">
        <v>74</v>
      </c>
      <c r="B6" t="s">
        <v>106</v>
      </c>
      <c r="C6" s="1">
        <v>45791</v>
      </c>
      <c r="D6" s="1">
        <v>45850</v>
      </c>
      <c r="E6" t="s">
        <v>36</v>
      </c>
      <c r="F6" t="s">
        <v>28</v>
      </c>
      <c r="G6" t="s">
        <v>29</v>
      </c>
      <c r="H6" t="s">
        <v>30</v>
      </c>
      <c r="I6" t="s">
        <v>24</v>
      </c>
      <c r="J6" t="s">
        <v>10</v>
      </c>
      <c r="N6">
        <v>0</v>
      </c>
      <c r="O6">
        <v>1</v>
      </c>
      <c r="P6">
        <v>0</v>
      </c>
      <c r="Q6">
        <v>0</v>
      </c>
      <c r="R6">
        <v>0</v>
      </c>
      <c r="S6" t="s">
        <v>37</v>
      </c>
      <c r="T6" t="s">
        <v>17</v>
      </c>
      <c r="U6">
        <v>0</v>
      </c>
      <c r="V6">
        <v>1</v>
      </c>
      <c r="W6">
        <v>0</v>
      </c>
      <c r="X6">
        <v>0</v>
      </c>
      <c r="Y6">
        <v>1</v>
      </c>
      <c r="Z6" t="str">
        <f t="shared" si="0"/>
        <v>Low</v>
      </c>
      <c r="AD6">
        <f>SUMIF(J1:J30,J5,Y1:Y30)</f>
        <v>120</v>
      </c>
      <c r="AK6">
        <f>AVERAGEIF(J1:J30,J4,Y1:Y30)</f>
        <v>4</v>
      </c>
    </row>
    <row r="7" spans="1:37" x14ac:dyDescent="0.35">
      <c r="A7" t="s">
        <v>75</v>
      </c>
      <c r="B7" t="s">
        <v>107</v>
      </c>
      <c r="C7" s="1">
        <v>45789</v>
      </c>
      <c r="D7" s="1">
        <v>45851</v>
      </c>
      <c r="E7" t="s">
        <v>38</v>
      </c>
      <c r="F7" t="s">
        <v>21</v>
      </c>
      <c r="G7" t="s">
        <v>34</v>
      </c>
      <c r="H7" t="s">
        <v>30</v>
      </c>
      <c r="I7" t="s">
        <v>24</v>
      </c>
      <c r="J7" t="s">
        <v>25</v>
      </c>
      <c r="N7">
        <v>1</v>
      </c>
      <c r="O7">
        <v>0</v>
      </c>
      <c r="P7">
        <v>0</v>
      </c>
      <c r="Q7">
        <v>0</v>
      </c>
      <c r="R7">
        <v>0</v>
      </c>
      <c r="S7" t="s">
        <v>26</v>
      </c>
      <c r="T7" t="s">
        <v>19</v>
      </c>
      <c r="U7">
        <v>0</v>
      </c>
      <c r="V7">
        <v>0</v>
      </c>
      <c r="W7">
        <v>0</v>
      </c>
      <c r="X7">
        <v>1</v>
      </c>
      <c r="Y7">
        <v>2</v>
      </c>
      <c r="Z7" t="str">
        <f t="shared" si="0"/>
        <v>Low</v>
      </c>
    </row>
    <row r="8" spans="1:37" x14ac:dyDescent="0.35">
      <c r="A8" t="s">
        <v>76</v>
      </c>
      <c r="B8" t="s">
        <v>108</v>
      </c>
      <c r="C8" s="1">
        <v>45790</v>
      </c>
      <c r="D8" s="1">
        <v>45852</v>
      </c>
      <c r="E8" t="s">
        <v>39</v>
      </c>
      <c r="F8" t="s">
        <v>21</v>
      </c>
      <c r="G8" t="s">
        <v>22</v>
      </c>
      <c r="H8" t="s">
        <v>30</v>
      </c>
      <c r="I8" t="s">
        <v>24</v>
      </c>
      <c r="J8" t="s">
        <v>10</v>
      </c>
      <c r="N8">
        <v>0</v>
      </c>
      <c r="O8">
        <v>1</v>
      </c>
      <c r="P8">
        <v>0</v>
      </c>
      <c r="Q8">
        <v>0</v>
      </c>
      <c r="R8">
        <v>0</v>
      </c>
      <c r="T8" t="s">
        <v>19</v>
      </c>
      <c r="U8">
        <v>0</v>
      </c>
      <c r="V8">
        <v>0</v>
      </c>
      <c r="W8">
        <v>0</v>
      </c>
      <c r="X8">
        <v>1</v>
      </c>
      <c r="Y8">
        <v>3</v>
      </c>
      <c r="Z8" t="str">
        <f t="shared" si="0"/>
        <v>Moderate</v>
      </c>
    </row>
    <row r="9" spans="1:37" x14ac:dyDescent="0.35">
      <c r="A9" t="s">
        <v>77</v>
      </c>
      <c r="B9" t="s">
        <v>109</v>
      </c>
      <c r="C9" s="1">
        <v>45791</v>
      </c>
      <c r="D9" s="1">
        <v>45853</v>
      </c>
      <c r="E9" t="s">
        <v>40</v>
      </c>
      <c r="F9" t="s">
        <v>21</v>
      </c>
      <c r="G9" t="s">
        <v>22</v>
      </c>
      <c r="H9" t="s">
        <v>30</v>
      </c>
      <c r="I9" t="s">
        <v>24</v>
      </c>
      <c r="J9" t="s">
        <v>12</v>
      </c>
      <c r="K9" t="s">
        <v>11</v>
      </c>
      <c r="L9" t="s">
        <v>41</v>
      </c>
      <c r="M9" t="s">
        <v>10</v>
      </c>
      <c r="N9">
        <v>0</v>
      </c>
      <c r="O9">
        <v>1</v>
      </c>
      <c r="P9">
        <v>1</v>
      </c>
      <c r="Q9">
        <v>1</v>
      </c>
      <c r="R9">
        <v>0</v>
      </c>
      <c r="S9" t="s">
        <v>26</v>
      </c>
      <c r="T9" t="s">
        <v>19</v>
      </c>
      <c r="U9">
        <v>0</v>
      </c>
      <c r="V9">
        <v>0</v>
      </c>
      <c r="W9">
        <v>0</v>
      </c>
      <c r="X9">
        <v>1</v>
      </c>
      <c r="Y9">
        <v>1</v>
      </c>
      <c r="Z9" t="str">
        <f t="shared" si="0"/>
        <v>Low</v>
      </c>
    </row>
    <row r="10" spans="1:37" ht="18.5" x14ac:dyDescent="0.45">
      <c r="A10" t="s">
        <v>78</v>
      </c>
      <c r="B10" t="s">
        <v>110</v>
      </c>
      <c r="C10" s="1">
        <v>45792</v>
      </c>
      <c r="D10" s="1">
        <v>45854</v>
      </c>
      <c r="E10" t="s">
        <v>42</v>
      </c>
      <c r="F10" t="s">
        <v>21</v>
      </c>
      <c r="G10" t="s">
        <v>34</v>
      </c>
      <c r="H10" t="s">
        <v>35</v>
      </c>
      <c r="I10" t="s">
        <v>43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44</v>
      </c>
      <c r="U10">
        <v>0</v>
      </c>
      <c r="V10">
        <v>0</v>
      </c>
      <c r="W10">
        <v>0</v>
      </c>
      <c r="X10">
        <v>0</v>
      </c>
      <c r="Y10">
        <v>0</v>
      </c>
      <c r="Z10" t="str">
        <f t="shared" si="0"/>
        <v>Low</v>
      </c>
      <c r="AD10" s="3" t="s">
        <v>133</v>
      </c>
      <c r="AK10" s="4" t="s">
        <v>137</v>
      </c>
    </row>
    <row r="11" spans="1:37" x14ac:dyDescent="0.35">
      <c r="A11" t="s">
        <v>79</v>
      </c>
      <c r="B11" t="s">
        <v>111</v>
      </c>
      <c r="C11" s="1">
        <v>45793</v>
      </c>
      <c r="D11" s="1">
        <v>45855</v>
      </c>
      <c r="E11" t="s">
        <v>45</v>
      </c>
      <c r="F11" t="s">
        <v>21</v>
      </c>
      <c r="G11" t="s">
        <v>34</v>
      </c>
      <c r="H11" t="s">
        <v>30</v>
      </c>
      <c r="I11" t="s">
        <v>24</v>
      </c>
      <c r="J11" t="s">
        <v>25</v>
      </c>
      <c r="K11" t="s">
        <v>10</v>
      </c>
      <c r="N11">
        <v>1</v>
      </c>
      <c r="O11">
        <v>1</v>
      </c>
      <c r="P11">
        <v>0</v>
      </c>
      <c r="Q11">
        <v>0</v>
      </c>
      <c r="R11">
        <v>0</v>
      </c>
      <c r="S11" t="s">
        <v>31</v>
      </c>
      <c r="T11" t="s">
        <v>46</v>
      </c>
      <c r="U11">
        <v>1</v>
      </c>
      <c r="V11">
        <v>1</v>
      </c>
      <c r="W11">
        <v>1</v>
      </c>
      <c r="X11">
        <v>0</v>
      </c>
      <c r="Y11">
        <v>2</v>
      </c>
      <c r="Z11" t="str">
        <f t="shared" si="0"/>
        <v>Low</v>
      </c>
      <c r="AD11">
        <f>SUMIFS(Y1:Y30,F1:F30,F9,J1:J30,J6)</f>
        <v>3</v>
      </c>
      <c r="AK11">
        <f>AVERAGEIFS(Y1:Y30,F1:F30,F13,J1:J30,J6)</f>
        <v>1</v>
      </c>
    </row>
    <row r="12" spans="1:37" x14ac:dyDescent="0.35">
      <c r="A12" t="s">
        <v>80</v>
      </c>
      <c r="B12" t="s">
        <v>112</v>
      </c>
      <c r="C12" s="1">
        <v>45794</v>
      </c>
      <c r="D12" s="1">
        <v>45856</v>
      </c>
      <c r="E12" t="s">
        <v>47</v>
      </c>
      <c r="F12" t="s">
        <v>28</v>
      </c>
      <c r="G12" t="s">
        <v>22</v>
      </c>
      <c r="H12" t="s">
        <v>35</v>
      </c>
      <c r="I12" t="s">
        <v>24</v>
      </c>
      <c r="J12" t="s">
        <v>25</v>
      </c>
      <c r="K12" t="s">
        <v>12</v>
      </c>
      <c r="L12" t="s">
        <v>10</v>
      </c>
      <c r="M12" t="s">
        <v>13</v>
      </c>
      <c r="N12">
        <v>1</v>
      </c>
      <c r="O12">
        <v>1</v>
      </c>
      <c r="P12">
        <v>0</v>
      </c>
      <c r="Q12">
        <v>1</v>
      </c>
      <c r="R12">
        <v>1</v>
      </c>
      <c r="S12" t="s">
        <v>26</v>
      </c>
      <c r="T12" t="s">
        <v>48</v>
      </c>
      <c r="U12">
        <v>1</v>
      </c>
      <c r="V12">
        <v>0</v>
      </c>
      <c r="W12">
        <v>1</v>
      </c>
      <c r="X12">
        <v>0</v>
      </c>
      <c r="Y12">
        <v>2</v>
      </c>
      <c r="Z12" t="str">
        <f t="shared" si="0"/>
        <v>Low</v>
      </c>
    </row>
    <row r="13" spans="1:37" x14ac:dyDescent="0.35">
      <c r="A13" t="s">
        <v>81</v>
      </c>
      <c r="B13" t="s">
        <v>113</v>
      </c>
      <c r="C13" s="1">
        <v>45795</v>
      </c>
      <c r="D13" s="1">
        <v>45857</v>
      </c>
      <c r="E13" t="s">
        <v>49</v>
      </c>
      <c r="F13" t="s">
        <v>28</v>
      </c>
      <c r="G13" t="s">
        <v>22</v>
      </c>
      <c r="H13" t="s">
        <v>35</v>
      </c>
      <c r="I13" t="s">
        <v>24</v>
      </c>
      <c r="J13" t="s">
        <v>25</v>
      </c>
      <c r="K13" t="s">
        <v>12</v>
      </c>
      <c r="L13" t="s">
        <v>10</v>
      </c>
      <c r="N13">
        <v>1</v>
      </c>
      <c r="O13">
        <v>1</v>
      </c>
      <c r="P13">
        <v>0</v>
      </c>
      <c r="Q13">
        <v>1</v>
      </c>
      <c r="R13">
        <v>0</v>
      </c>
      <c r="S13" t="s">
        <v>26</v>
      </c>
      <c r="T13" t="s">
        <v>16</v>
      </c>
      <c r="U13">
        <v>1</v>
      </c>
      <c r="V13">
        <v>0</v>
      </c>
      <c r="W13">
        <v>0</v>
      </c>
      <c r="X13">
        <v>0</v>
      </c>
      <c r="Y13">
        <v>2</v>
      </c>
      <c r="Z13" t="str">
        <f t="shared" si="0"/>
        <v>Low</v>
      </c>
    </row>
    <row r="14" spans="1:37" x14ac:dyDescent="0.35">
      <c r="A14" t="s">
        <v>82</v>
      </c>
      <c r="B14" t="s">
        <v>114</v>
      </c>
      <c r="C14" s="1">
        <v>45796</v>
      </c>
      <c r="D14" s="1">
        <v>45858</v>
      </c>
      <c r="E14" t="s">
        <v>50</v>
      </c>
      <c r="F14" t="s">
        <v>21</v>
      </c>
      <c r="G14" t="s">
        <v>22</v>
      </c>
      <c r="H14" t="s">
        <v>35</v>
      </c>
      <c r="I14" t="s">
        <v>24</v>
      </c>
      <c r="J14" t="s">
        <v>11</v>
      </c>
      <c r="K14" t="s">
        <v>41</v>
      </c>
      <c r="L14" t="s">
        <v>10</v>
      </c>
      <c r="N14">
        <v>0</v>
      </c>
      <c r="O14">
        <v>1</v>
      </c>
      <c r="P14">
        <v>1</v>
      </c>
      <c r="Q14">
        <v>0</v>
      </c>
      <c r="R14">
        <v>0</v>
      </c>
      <c r="S14" t="s">
        <v>31</v>
      </c>
      <c r="T14" t="s">
        <v>51</v>
      </c>
      <c r="U14">
        <v>0</v>
      </c>
      <c r="V14">
        <v>1</v>
      </c>
      <c r="W14">
        <v>1</v>
      </c>
      <c r="X14">
        <v>0</v>
      </c>
      <c r="Y14">
        <v>6</v>
      </c>
      <c r="Z14" t="str">
        <f t="shared" si="0"/>
        <v>High</v>
      </c>
    </row>
    <row r="15" spans="1:37" ht="15.5" x14ac:dyDescent="0.35">
      <c r="A15" t="s">
        <v>83</v>
      </c>
      <c r="B15" t="s">
        <v>115</v>
      </c>
      <c r="C15" s="1">
        <v>45797</v>
      </c>
      <c r="D15" s="1">
        <v>45859</v>
      </c>
      <c r="E15" t="s">
        <v>52</v>
      </c>
      <c r="F15" t="s">
        <v>28</v>
      </c>
      <c r="G15" t="s">
        <v>34</v>
      </c>
      <c r="H15" t="s">
        <v>35</v>
      </c>
      <c r="I15" t="s">
        <v>24</v>
      </c>
      <c r="J15" t="s">
        <v>25</v>
      </c>
      <c r="K15" t="s">
        <v>10</v>
      </c>
      <c r="N15">
        <v>1</v>
      </c>
      <c r="O15">
        <v>1</v>
      </c>
      <c r="P15">
        <v>0</v>
      </c>
      <c r="Q15">
        <v>0</v>
      </c>
      <c r="R15">
        <v>0</v>
      </c>
      <c r="S15" t="s">
        <v>26</v>
      </c>
      <c r="T15" t="s">
        <v>53</v>
      </c>
      <c r="U15">
        <v>1</v>
      </c>
      <c r="V15">
        <v>0</v>
      </c>
      <c r="W15">
        <v>0</v>
      </c>
      <c r="X15">
        <v>1</v>
      </c>
      <c r="Y15">
        <v>8</v>
      </c>
      <c r="Z15" t="str">
        <f t="shared" si="0"/>
        <v>High</v>
      </c>
      <c r="AD15" s="4" t="s">
        <v>134</v>
      </c>
    </row>
    <row r="16" spans="1:37" ht="18.5" x14ac:dyDescent="0.45">
      <c r="A16" t="s">
        <v>84</v>
      </c>
      <c r="B16" t="s">
        <v>116</v>
      </c>
      <c r="C16" s="1">
        <v>45798</v>
      </c>
      <c r="D16" s="1">
        <v>45860</v>
      </c>
      <c r="E16" t="s">
        <v>54</v>
      </c>
      <c r="F16" t="s">
        <v>21</v>
      </c>
      <c r="G16" t="s">
        <v>29</v>
      </c>
      <c r="H16" t="s">
        <v>30</v>
      </c>
      <c r="I16" t="s">
        <v>24</v>
      </c>
      <c r="J16" t="s">
        <v>25</v>
      </c>
      <c r="K16" t="s">
        <v>41</v>
      </c>
      <c r="N16">
        <v>1</v>
      </c>
      <c r="O16">
        <v>0</v>
      </c>
      <c r="P16">
        <v>0</v>
      </c>
      <c r="Q16">
        <v>0</v>
      </c>
      <c r="R16">
        <v>0</v>
      </c>
      <c r="S16" t="s">
        <v>26</v>
      </c>
      <c r="T16" t="s">
        <v>53</v>
      </c>
      <c r="U16">
        <v>1</v>
      </c>
      <c r="V16">
        <v>0</v>
      </c>
      <c r="W16">
        <v>0</v>
      </c>
      <c r="X16">
        <v>1</v>
      </c>
      <c r="Y16">
        <v>8</v>
      </c>
      <c r="Z16" t="str">
        <f t="shared" si="0"/>
        <v>High</v>
      </c>
      <c r="AD16">
        <f>COUNTIF(J1:J30,J9)</f>
        <v>1</v>
      </c>
      <c r="AE16" s="2"/>
    </row>
    <row r="17" spans="1:30" x14ac:dyDescent="0.35">
      <c r="A17" t="s">
        <v>85</v>
      </c>
      <c r="B17" t="s">
        <v>117</v>
      </c>
      <c r="C17" s="1">
        <v>45799</v>
      </c>
      <c r="D17" s="1">
        <v>45861</v>
      </c>
      <c r="E17" t="s">
        <v>55</v>
      </c>
      <c r="F17" t="s">
        <v>28</v>
      </c>
      <c r="G17" t="s">
        <v>29</v>
      </c>
      <c r="H17" t="s">
        <v>30</v>
      </c>
      <c r="I17" t="s">
        <v>43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44</v>
      </c>
      <c r="U17">
        <v>0</v>
      </c>
      <c r="V17">
        <v>0</v>
      </c>
      <c r="W17">
        <v>0</v>
      </c>
      <c r="X17">
        <v>0</v>
      </c>
      <c r="Y17">
        <v>0</v>
      </c>
      <c r="Z17" t="str">
        <f t="shared" si="0"/>
        <v>Low</v>
      </c>
    </row>
    <row r="18" spans="1:30" x14ac:dyDescent="0.35">
      <c r="A18" t="s">
        <v>86</v>
      </c>
      <c r="B18" t="s">
        <v>118</v>
      </c>
      <c r="C18" s="1">
        <v>45800</v>
      </c>
      <c r="D18" s="1">
        <v>45862</v>
      </c>
      <c r="E18" t="s">
        <v>56</v>
      </c>
      <c r="F18" t="s">
        <v>21</v>
      </c>
      <c r="G18" t="s">
        <v>29</v>
      </c>
      <c r="H18" t="s">
        <v>23</v>
      </c>
      <c r="I18" t="s">
        <v>24</v>
      </c>
      <c r="J18" t="s">
        <v>25</v>
      </c>
      <c r="K18" t="s">
        <v>12</v>
      </c>
      <c r="L18" t="s">
        <v>11</v>
      </c>
      <c r="M18" t="s">
        <v>41</v>
      </c>
      <c r="N18">
        <v>1</v>
      </c>
      <c r="O18">
        <v>0</v>
      </c>
      <c r="P18">
        <v>1</v>
      </c>
      <c r="Q18">
        <v>1</v>
      </c>
      <c r="R18">
        <v>0</v>
      </c>
      <c r="S18" t="s">
        <v>26</v>
      </c>
      <c r="T18" t="s">
        <v>46</v>
      </c>
      <c r="U18">
        <v>1</v>
      </c>
      <c r="V18">
        <v>1</v>
      </c>
      <c r="W18">
        <v>1</v>
      </c>
      <c r="X18">
        <v>0</v>
      </c>
      <c r="Y18">
        <v>4</v>
      </c>
      <c r="Z18" t="str">
        <f t="shared" si="0"/>
        <v>Moderate</v>
      </c>
    </row>
    <row r="19" spans="1:30" x14ac:dyDescent="0.35">
      <c r="A19" t="s">
        <v>87</v>
      </c>
      <c r="B19" t="s">
        <v>119</v>
      </c>
      <c r="C19" s="1">
        <v>45801</v>
      </c>
      <c r="D19" s="1">
        <v>45863</v>
      </c>
      <c r="E19" t="s">
        <v>57</v>
      </c>
      <c r="F19" t="s">
        <v>21</v>
      </c>
      <c r="G19" t="s">
        <v>34</v>
      </c>
      <c r="H19" t="s">
        <v>23</v>
      </c>
      <c r="I19" t="s">
        <v>24</v>
      </c>
      <c r="J19" t="s">
        <v>25</v>
      </c>
      <c r="K19" t="s">
        <v>12</v>
      </c>
      <c r="N19">
        <v>1</v>
      </c>
      <c r="O19">
        <v>0</v>
      </c>
      <c r="P19">
        <v>0</v>
      </c>
      <c r="Q19">
        <v>1</v>
      </c>
      <c r="R19">
        <v>0</v>
      </c>
      <c r="S19" t="s">
        <v>26</v>
      </c>
      <c r="T19" t="s">
        <v>58</v>
      </c>
      <c r="U19">
        <v>1</v>
      </c>
      <c r="V19">
        <v>1</v>
      </c>
      <c r="W19">
        <v>1</v>
      </c>
      <c r="X19">
        <v>1</v>
      </c>
      <c r="Y19">
        <v>4</v>
      </c>
      <c r="Z19" t="str">
        <f t="shared" si="0"/>
        <v>Moderate</v>
      </c>
    </row>
    <row r="20" spans="1:30" x14ac:dyDescent="0.35">
      <c r="A20" t="s">
        <v>88</v>
      </c>
      <c r="B20" t="s">
        <v>120</v>
      </c>
      <c r="C20" s="1">
        <v>45802</v>
      </c>
      <c r="D20" s="1">
        <v>45864</v>
      </c>
      <c r="E20" t="s">
        <v>59</v>
      </c>
      <c r="F20" t="s">
        <v>21</v>
      </c>
      <c r="G20" t="s">
        <v>22</v>
      </c>
      <c r="H20" t="s">
        <v>30</v>
      </c>
      <c r="I20" t="s">
        <v>24</v>
      </c>
      <c r="J20" t="s">
        <v>25</v>
      </c>
      <c r="K20" t="s">
        <v>12</v>
      </c>
      <c r="L20" t="s">
        <v>10</v>
      </c>
      <c r="N20">
        <v>1</v>
      </c>
      <c r="O20">
        <v>1</v>
      </c>
      <c r="P20">
        <v>0</v>
      </c>
      <c r="Q20">
        <v>1</v>
      </c>
      <c r="R20">
        <v>0</v>
      </c>
      <c r="S20" t="s">
        <v>26</v>
      </c>
      <c r="T20" t="s">
        <v>58</v>
      </c>
      <c r="U20">
        <v>1</v>
      </c>
      <c r="V20">
        <v>1</v>
      </c>
      <c r="W20">
        <v>1</v>
      </c>
      <c r="X20">
        <v>1</v>
      </c>
      <c r="Y20">
        <v>4</v>
      </c>
      <c r="Z20" t="str">
        <f t="shared" si="0"/>
        <v>Moderate</v>
      </c>
    </row>
    <row r="21" spans="1:30" ht="15.5" x14ac:dyDescent="0.35">
      <c r="A21" t="s">
        <v>89</v>
      </c>
      <c r="B21" t="s">
        <v>121</v>
      </c>
      <c r="C21" s="1">
        <v>45803</v>
      </c>
      <c r="D21" s="1">
        <v>45865</v>
      </c>
      <c r="E21" t="s">
        <v>60</v>
      </c>
      <c r="F21" t="s">
        <v>28</v>
      </c>
      <c r="G21" t="s">
        <v>29</v>
      </c>
      <c r="H21" t="s">
        <v>30</v>
      </c>
      <c r="I21" t="s">
        <v>24</v>
      </c>
      <c r="J21" t="s">
        <v>25</v>
      </c>
      <c r="K21" t="s">
        <v>12</v>
      </c>
      <c r="L21" t="s">
        <v>11</v>
      </c>
      <c r="M21" t="s">
        <v>10</v>
      </c>
      <c r="N21">
        <v>1</v>
      </c>
      <c r="O21">
        <v>1</v>
      </c>
      <c r="P21">
        <v>1</v>
      </c>
      <c r="Q21">
        <v>1</v>
      </c>
      <c r="R21">
        <v>0</v>
      </c>
      <c r="S21" t="s">
        <v>26</v>
      </c>
      <c r="T21" t="s">
        <v>48</v>
      </c>
      <c r="U21">
        <v>1</v>
      </c>
      <c r="V21">
        <v>0</v>
      </c>
      <c r="W21">
        <v>1</v>
      </c>
      <c r="X21">
        <v>0</v>
      </c>
      <c r="Y21">
        <v>3</v>
      </c>
      <c r="Z21" t="str">
        <f t="shared" si="0"/>
        <v>Moderate</v>
      </c>
      <c r="AD21" s="5" t="s">
        <v>135</v>
      </c>
    </row>
    <row r="22" spans="1:30" x14ac:dyDescent="0.35">
      <c r="A22" t="s">
        <v>90</v>
      </c>
      <c r="B22" t="s">
        <v>122</v>
      </c>
      <c r="C22" s="1">
        <v>45804</v>
      </c>
      <c r="D22" s="1">
        <v>45866</v>
      </c>
      <c r="E22" t="s">
        <v>61</v>
      </c>
      <c r="F22" t="s">
        <v>21</v>
      </c>
      <c r="G22" t="s">
        <v>22</v>
      </c>
      <c r="H22" t="s">
        <v>30</v>
      </c>
      <c r="I22" t="s">
        <v>24</v>
      </c>
      <c r="J22" t="s">
        <v>25</v>
      </c>
      <c r="K22" t="s">
        <v>12</v>
      </c>
      <c r="N22">
        <v>1</v>
      </c>
      <c r="O22">
        <v>0</v>
      </c>
      <c r="P22">
        <v>0</v>
      </c>
      <c r="Q22">
        <v>1</v>
      </c>
      <c r="R22">
        <v>0</v>
      </c>
      <c r="S22" t="s">
        <v>26</v>
      </c>
      <c r="T22" t="s">
        <v>48</v>
      </c>
      <c r="U22">
        <v>1</v>
      </c>
      <c r="V22">
        <v>0</v>
      </c>
      <c r="W22">
        <v>1</v>
      </c>
      <c r="X22">
        <v>0</v>
      </c>
      <c r="Y22">
        <v>8</v>
      </c>
      <c r="Z22" t="str">
        <f t="shared" si="0"/>
        <v>High</v>
      </c>
      <c r="AD22">
        <f>COUNTIFS(F1:F30,F8,J1:J30,J4)</f>
        <v>2</v>
      </c>
    </row>
    <row r="23" spans="1:30" x14ac:dyDescent="0.35">
      <c r="A23" t="s">
        <v>91</v>
      </c>
      <c r="B23" t="s">
        <v>123</v>
      </c>
      <c r="C23" s="1">
        <v>45805</v>
      </c>
      <c r="D23" s="1">
        <v>45867</v>
      </c>
      <c r="E23" t="s">
        <v>62</v>
      </c>
      <c r="F23" t="s">
        <v>21</v>
      </c>
      <c r="G23" t="s">
        <v>22</v>
      </c>
      <c r="H23" t="s">
        <v>30</v>
      </c>
      <c r="I23" t="s">
        <v>24</v>
      </c>
      <c r="J23" t="s">
        <v>25</v>
      </c>
      <c r="N23">
        <v>1</v>
      </c>
      <c r="O23">
        <v>0</v>
      </c>
      <c r="P23">
        <v>0</v>
      </c>
      <c r="Q23">
        <v>0</v>
      </c>
      <c r="R23">
        <v>0</v>
      </c>
      <c r="S23" t="s">
        <v>26</v>
      </c>
      <c r="T23" t="s">
        <v>16</v>
      </c>
      <c r="U23">
        <v>1</v>
      </c>
      <c r="V23">
        <v>0</v>
      </c>
      <c r="W23">
        <v>0</v>
      </c>
      <c r="X23">
        <v>0</v>
      </c>
      <c r="Y23">
        <v>2</v>
      </c>
      <c r="Z23" t="str">
        <f t="shared" si="0"/>
        <v>Low</v>
      </c>
    </row>
    <row r="24" spans="1:30" x14ac:dyDescent="0.35">
      <c r="A24" t="s">
        <v>92</v>
      </c>
      <c r="B24" t="s">
        <v>124</v>
      </c>
      <c r="C24" s="1">
        <v>45806</v>
      </c>
      <c r="D24" s="1">
        <v>45868</v>
      </c>
      <c r="E24" t="s">
        <v>63</v>
      </c>
      <c r="F24" t="s">
        <v>28</v>
      </c>
      <c r="G24" t="s">
        <v>29</v>
      </c>
      <c r="H24" t="s">
        <v>23</v>
      </c>
      <c r="I24" t="s">
        <v>43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 t="s">
        <v>44</v>
      </c>
      <c r="U24">
        <v>0</v>
      </c>
      <c r="V24">
        <v>0</v>
      </c>
      <c r="W24">
        <v>0</v>
      </c>
      <c r="X24">
        <v>0</v>
      </c>
      <c r="Y24">
        <v>0</v>
      </c>
      <c r="Z24" t="str">
        <f t="shared" si="0"/>
        <v>Low</v>
      </c>
    </row>
    <row r="25" spans="1:30" x14ac:dyDescent="0.35">
      <c r="A25" t="s">
        <v>93</v>
      </c>
      <c r="B25" t="s">
        <v>125</v>
      </c>
      <c r="C25" s="1">
        <v>45807</v>
      </c>
      <c r="D25" s="1">
        <v>45869</v>
      </c>
      <c r="E25" t="s">
        <v>64</v>
      </c>
      <c r="F25" t="s">
        <v>28</v>
      </c>
      <c r="G25" t="s">
        <v>34</v>
      </c>
      <c r="H25" t="s">
        <v>30</v>
      </c>
      <c r="I25" t="s">
        <v>24</v>
      </c>
      <c r="J25" t="s">
        <v>25</v>
      </c>
      <c r="K25" t="s">
        <v>10</v>
      </c>
      <c r="N25">
        <v>1</v>
      </c>
      <c r="O25">
        <v>1</v>
      </c>
      <c r="P25">
        <v>0</v>
      </c>
      <c r="Q25">
        <v>0</v>
      </c>
      <c r="R25">
        <v>0</v>
      </c>
      <c r="S25" t="s">
        <v>37</v>
      </c>
      <c r="T25" t="s">
        <v>18</v>
      </c>
      <c r="U25">
        <v>0</v>
      </c>
      <c r="V25">
        <v>0</v>
      </c>
      <c r="W25">
        <v>1</v>
      </c>
      <c r="X25">
        <v>0</v>
      </c>
      <c r="Y25">
        <v>8</v>
      </c>
      <c r="Z25" t="str">
        <f t="shared" si="0"/>
        <v>High</v>
      </c>
    </row>
    <row r="26" spans="1:30" x14ac:dyDescent="0.35">
      <c r="A26" t="s">
        <v>94</v>
      </c>
      <c r="B26" t="s">
        <v>126</v>
      </c>
      <c r="C26" s="1">
        <v>45808</v>
      </c>
      <c r="D26" s="1">
        <v>45870</v>
      </c>
      <c r="E26" t="s">
        <v>65</v>
      </c>
      <c r="F26" t="s">
        <v>21</v>
      </c>
      <c r="G26" t="s">
        <v>34</v>
      </c>
      <c r="H26" t="s">
        <v>23</v>
      </c>
      <c r="I26" t="s">
        <v>24</v>
      </c>
      <c r="J26" t="s">
        <v>25</v>
      </c>
      <c r="K26" t="s">
        <v>10</v>
      </c>
      <c r="N26">
        <v>1</v>
      </c>
      <c r="O26">
        <v>1</v>
      </c>
      <c r="P26">
        <v>0</v>
      </c>
      <c r="Q26">
        <v>0</v>
      </c>
      <c r="R26">
        <v>0</v>
      </c>
      <c r="S26" t="s">
        <v>37</v>
      </c>
      <c r="T26" t="s">
        <v>17</v>
      </c>
      <c r="U26">
        <v>0</v>
      </c>
      <c r="V26">
        <v>1</v>
      </c>
      <c r="W26">
        <v>0</v>
      </c>
      <c r="X26">
        <v>0</v>
      </c>
      <c r="Y26">
        <v>24</v>
      </c>
      <c r="Z26" t="str">
        <f t="shared" si="0"/>
        <v>High</v>
      </c>
    </row>
    <row r="27" spans="1:30" x14ac:dyDescent="0.35">
      <c r="A27" t="s">
        <v>95</v>
      </c>
      <c r="B27" t="s">
        <v>127</v>
      </c>
      <c r="C27" s="1">
        <v>45809</v>
      </c>
      <c r="D27" s="1">
        <v>45871</v>
      </c>
      <c r="E27" t="s">
        <v>66</v>
      </c>
      <c r="F27" t="s">
        <v>21</v>
      </c>
      <c r="G27" t="s">
        <v>22</v>
      </c>
      <c r="H27" t="s">
        <v>35</v>
      </c>
      <c r="I27" t="s">
        <v>43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 t="s">
        <v>44</v>
      </c>
      <c r="U27">
        <v>0</v>
      </c>
      <c r="V27">
        <v>0</v>
      </c>
      <c r="W27">
        <v>0</v>
      </c>
      <c r="X27">
        <v>0</v>
      </c>
      <c r="Y27">
        <v>0</v>
      </c>
      <c r="Z27" t="str">
        <f t="shared" si="0"/>
        <v>Low</v>
      </c>
    </row>
    <row r="28" spans="1:30" x14ac:dyDescent="0.35">
      <c r="A28" t="s">
        <v>96</v>
      </c>
      <c r="B28" t="s">
        <v>128</v>
      </c>
      <c r="C28" s="1">
        <v>45810</v>
      </c>
      <c r="D28" s="1">
        <v>45872</v>
      </c>
      <c r="E28" t="s">
        <v>67</v>
      </c>
      <c r="F28" t="s">
        <v>28</v>
      </c>
      <c r="G28" t="s">
        <v>34</v>
      </c>
      <c r="H28" t="s">
        <v>23</v>
      </c>
      <c r="I28" t="s">
        <v>24</v>
      </c>
      <c r="J28" t="s">
        <v>25</v>
      </c>
      <c r="K28" t="s">
        <v>12</v>
      </c>
      <c r="L28" t="s">
        <v>10</v>
      </c>
      <c r="M28" t="s">
        <v>13</v>
      </c>
      <c r="N28">
        <v>1</v>
      </c>
      <c r="O28">
        <v>1</v>
      </c>
      <c r="P28">
        <v>0</v>
      </c>
      <c r="Q28">
        <v>1</v>
      </c>
      <c r="R28">
        <v>1</v>
      </c>
      <c r="S28" t="s">
        <v>26</v>
      </c>
      <c r="T28" t="s">
        <v>58</v>
      </c>
      <c r="U28">
        <v>1</v>
      </c>
      <c r="V28">
        <v>1</v>
      </c>
      <c r="W28">
        <v>1</v>
      </c>
      <c r="X28">
        <v>1</v>
      </c>
      <c r="Y28">
        <v>6</v>
      </c>
      <c r="Z28" t="str">
        <f t="shared" si="0"/>
        <v>High</v>
      </c>
    </row>
    <row r="29" spans="1:30" x14ac:dyDescent="0.35">
      <c r="A29" t="s">
        <v>97</v>
      </c>
      <c r="B29" t="s">
        <v>129</v>
      </c>
      <c r="C29" s="1">
        <v>45811</v>
      </c>
      <c r="D29" s="1">
        <v>45873</v>
      </c>
      <c r="E29" t="s">
        <v>68</v>
      </c>
      <c r="F29" t="s">
        <v>21</v>
      </c>
      <c r="G29" t="s">
        <v>34</v>
      </c>
      <c r="H29" t="s">
        <v>30</v>
      </c>
      <c r="I29" t="s">
        <v>24</v>
      </c>
      <c r="J29" t="s">
        <v>25</v>
      </c>
      <c r="K29" t="s">
        <v>12</v>
      </c>
      <c r="N29">
        <v>1</v>
      </c>
      <c r="O29">
        <v>0</v>
      </c>
      <c r="P29">
        <v>0</v>
      </c>
      <c r="Q29">
        <v>1</v>
      </c>
      <c r="R29">
        <v>0</v>
      </c>
      <c r="S29" t="s">
        <v>26</v>
      </c>
      <c r="T29" t="s">
        <v>16</v>
      </c>
      <c r="U29">
        <v>1</v>
      </c>
      <c r="V29">
        <v>0</v>
      </c>
      <c r="W29">
        <v>0</v>
      </c>
      <c r="X29">
        <v>0</v>
      </c>
      <c r="Y29">
        <v>4</v>
      </c>
      <c r="Z29" t="str">
        <f t="shared" si="0"/>
        <v>Moderate</v>
      </c>
    </row>
    <row r="30" spans="1:30" x14ac:dyDescent="0.35">
      <c r="A30" t="s">
        <v>98</v>
      </c>
      <c r="B30" t="s">
        <v>130</v>
      </c>
      <c r="C30" s="1">
        <v>45812</v>
      </c>
      <c r="D30" s="1">
        <v>45874</v>
      </c>
      <c r="E30" t="s">
        <v>69</v>
      </c>
      <c r="F30" t="s">
        <v>28</v>
      </c>
      <c r="G30" t="s">
        <v>29</v>
      </c>
      <c r="H30" t="s">
        <v>35</v>
      </c>
      <c r="I30" t="s">
        <v>24</v>
      </c>
      <c r="J30" t="s">
        <v>25</v>
      </c>
      <c r="K30" t="s">
        <v>10</v>
      </c>
      <c r="N30">
        <v>1</v>
      </c>
      <c r="O30">
        <v>1</v>
      </c>
      <c r="P30">
        <v>0</v>
      </c>
      <c r="Q30">
        <v>0</v>
      </c>
      <c r="R30">
        <v>0</v>
      </c>
      <c r="S30" t="s">
        <v>37</v>
      </c>
      <c r="T30" t="s">
        <v>53</v>
      </c>
      <c r="U30">
        <v>1</v>
      </c>
      <c r="V30">
        <v>0</v>
      </c>
      <c r="W30">
        <v>0</v>
      </c>
      <c r="X30">
        <v>1</v>
      </c>
      <c r="Y30">
        <v>24</v>
      </c>
      <c r="Z30" t="str">
        <f t="shared" si="0"/>
        <v>High</v>
      </c>
    </row>
  </sheetData>
  <phoneticPr fontId="18" type="noConversion"/>
  <dataValidations count="5">
    <dataValidation type="custom" allowBlank="1" showInputMessage="1" showErrorMessage="1" sqref="D1:D30" xr:uid="{00000000-0002-0000-0100-000003000000}">
      <formula1>AND(WEEKDAY(D1,2)&gt;=1,WEEKDAY(D1,2)&lt;=5)</formula1>
    </dataValidation>
    <dataValidation type="custom" allowBlank="1" showInputMessage="1" showErrorMessage="1" sqref="A1:A1048576" xr:uid="{00000000-0002-0000-0100-000000000000}">
      <formula1>AND(ISNUMBER(VALUE(RIGHT(A1,4))),LEN(A1)=5,ISTEXT(LEFT(A1,1)))</formula1>
    </dataValidation>
    <dataValidation type="custom" allowBlank="1" showInputMessage="1" showErrorMessage="1" sqref="B1:B1048576" xr:uid="{00000000-0002-0000-0100-000001000000}">
      <formula1>AND(ISNUMBER(VALUE(RIGHT(B1,4))),LEN(B1)=7,ISTEXT(LEFT(B1,3)))</formula1>
    </dataValidation>
    <dataValidation type="custom" allowBlank="1" showInputMessage="1" showErrorMessage="1" sqref="C1:C1048576" xr:uid="{00000000-0002-0000-0100-000002000000}">
      <formula1>C1&lt;=TODAY()</formula1>
    </dataValidation>
    <dataValidation type="custom" allowBlank="1" showInputMessage="1" showErrorMessage="1" sqref="E1:E1048576" xr:uid="{00000000-0002-0000-0100-000004000000}">
      <formula1>ISTEXT(A1)</formula1>
    </dataValidation>
  </dataValidations>
  <pageMargins left="0.7" right="0.7" top="0.75" bottom="0.75" header="0.3" footer="0.3"/>
  <pageSetup paperSize="9" orientation="portrait" horizontalDpi="200" verticalDpi="200" copies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A055F-569B-45CE-A2EB-43483D0D4C17}">
  <dimension ref="A1"/>
  <sheetViews>
    <sheetView topLeftCell="U9" workbookViewId="0">
      <selection activeCell="AB29" sqref="AB2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FC1F1-7AA4-476A-B456-FA987F68486F}">
  <dimension ref="A1:B4"/>
  <sheetViews>
    <sheetView workbookViewId="0">
      <selection activeCell="A2" sqref="A2"/>
    </sheetView>
  </sheetViews>
  <sheetFormatPr defaultRowHeight="14.5" x14ac:dyDescent="0.35"/>
  <sheetData>
    <row r="1" spans="1:2" x14ac:dyDescent="0.35">
      <c r="A1" t="s">
        <v>145</v>
      </c>
      <c r="B1" t="s">
        <v>146</v>
      </c>
    </row>
    <row r="2" spans="1:2" x14ac:dyDescent="0.35">
      <c r="A2">
        <v>0</v>
      </c>
      <c r="B2" t="s">
        <v>147</v>
      </c>
    </row>
    <row r="3" spans="1:2" x14ac:dyDescent="0.35">
      <c r="A3">
        <v>3</v>
      </c>
      <c r="B3" t="s">
        <v>148</v>
      </c>
    </row>
    <row r="4" spans="1:2" x14ac:dyDescent="0.35">
      <c r="A4">
        <v>6</v>
      </c>
      <c r="B4" t="s">
        <v>149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BDE721B0-A907-400A-AFD1-5C88D3643933}">
  <ds:schemaRefs/>
</ds:datastoreItem>
</file>

<file path=customXml/itemProps2.xml><?xml version="1.0" encoding="utf-8"?>
<ds:datastoreItem xmlns:ds="http://schemas.openxmlformats.org/officeDocument/2006/customXml" ds:itemID="{5BB2A46B-57D6-40EF-A866-27B1FF608666}">
  <ds:schemaRefs/>
</ds:datastoreItem>
</file>

<file path=customXml/itemProps3.xml><?xml version="1.0" encoding="utf-8"?>
<ds:datastoreItem xmlns:ds="http://schemas.openxmlformats.org/officeDocument/2006/customXml" ds:itemID="{80B43A72-827E-49C2-8B9B-F867C9A608B7}">
  <ds:schemaRefs/>
</ds:datastoreItem>
</file>

<file path=customXml/itemProps4.xml><?xml version="1.0" encoding="utf-8"?>
<ds:datastoreItem xmlns:ds="http://schemas.openxmlformats.org/officeDocument/2006/customXml" ds:itemID="{6D5FEC5A-DE29-4CDE-A029-359348F87E09}">
  <ds:schemaRefs/>
</ds:datastoreItem>
</file>

<file path=customXml/itemProps5.xml><?xml version="1.0" encoding="utf-8"?>
<ds:datastoreItem xmlns:ds="http://schemas.openxmlformats.org/officeDocument/2006/customXml" ds:itemID="{4B1EE1E9-18AF-4355-900E-83B2139817F7}">
  <ds:schemaRefs/>
</ds:datastoreItem>
</file>

<file path=customXml/itemProps6.xml><?xml version="1.0" encoding="utf-8"?>
<ds:datastoreItem xmlns:ds="http://schemas.openxmlformats.org/officeDocument/2006/customXml" ds:itemID="{37CE1D25-7D93-474F-AC0F-32B8F3035480}">
  <ds:schemaRefs/>
</ds:datastoreItem>
</file>

<file path=customXml/itemProps7.xml><?xml version="1.0" encoding="utf-8"?>
<ds:datastoreItem xmlns:ds="http://schemas.openxmlformats.org/officeDocument/2006/customXml" ds:itemID="{CB995354-8E86-4FB9-9892-B29C304F4E4A}">
  <ds:schemaRefs/>
</ds:datastoreItem>
</file>

<file path=customXml/itemProps8.xml><?xml version="1.0" encoding="utf-8"?>
<ds:datastoreItem xmlns:ds="http://schemas.openxmlformats.org/officeDocument/2006/customXml" ds:itemID="{5B403716-FC45-4F3E-B63D-BA760EBB4011}">
  <ds:schemaRefs/>
</ds:datastoreItem>
</file>

<file path=customXml/itemProps9.xml><?xml version="1.0" encoding="utf-8"?>
<ds:datastoreItem xmlns:ds="http://schemas.openxmlformats.org/officeDocument/2006/customXml" ds:itemID="{D99C32A2-D622-4D93-993E-836EC2FFAFE2}">
  <ds:schemaRefs/>
</ds:datastoreItem>
</file>

<file path=customXml/itemProps10.xml><?xml version="1.0" encoding="utf-8"?>
<ds:datastoreItem xmlns:ds="http://schemas.openxmlformats.org/officeDocument/2006/customXml" ds:itemID="{B7659A6A-E99A-4865-BE52-1D2FD625DF41}">
  <ds:schemaRefs/>
</ds:datastoreItem>
</file>

<file path=customXml/itemProps11.xml><?xml version="1.0" encoding="utf-8"?>
<ds:datastoreItem xmlns:ds="http://schemas.openxmlformats.org/officeDocument/2006/customXml" ds:itemID="{065EF796-FB08-4ED2-BAE7-09825719181E}">
  <ds:schemaRefs/>
</ds:datastoreItem>
</file>

<file path=customXml/itemProps12.xml><?xml version="1.0" encoding="utf-8"?>
<ds:datastoreItem xmlns:ds="http://schemas.openxmlformats.org/officeDocument/2006/customXml" ds:itemID="{43844959-BB91-437F-912F-1AD3D3E968A6}">
  <ds:schemaRefs/>
</ds:datastoreItem>
</file>

<file path=customXml/itemProps13.xml><?xml version="1.0" encoding="utf-8"?>
<ds:datastoreItem xmlns:ds="http://schemas.openxmlformats.org/officeDocument/2006/customXml" ds:itemID="{CB6D2D52-0900-487E-A1E0-11A15EE1DECE}">
  <ds:schemaRefs/>
</ds:datastoreItem>
</file>

<file path=customXml/itemProps14.xml><?xml version="1.0" encoding="utf-8"?>
<ds:datastoreItem xmlns:ds="http://schemas.openxmlformats.org/officeDocument/2006/customXml" ds:itemID="{02BF6172-09CE-4006-817C-0019E7B6E7BD}">
  <ds:schemaRefs/>
</ds:datastoreItem>
</file>

<file path=customXml/itemProps15.xml><?xml version="1.0" encoding="utf-8"?>
<ds:datastoreItem xmlns:ds="http://schemas.openxmlformats.org/officeDocument/2006/customXml" ds:itemID="{F619B996-F8CF-4CB2-890B-65378F4A66B2}">
  <ds:schemaRefs/>
</ds:datastoreItem>
</file>

<file path=customXml/itemProps16.xml><?xml version="1.0" encoding="utf-8"?>
<ds:datastoreItem xmlns:ds="http://schemas.openxmlformats.org/officeDocument/2006/customXml" ds:itemID="{B76B7EDF-007C-4F56-B91F-7C40DF886D1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Pivot Table</vt:lpstr>
      <vt:lpstr>Social_Media</vt:lpstr>
      <vt:lpstr>Plot and whisper</vt:lpstr>
      <vt:lpstr>lookup</vt:lpstr>
      <vt:lpstr>Social_Media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2025-10-05T11:41:55Z</dcterms:created>
  <dcterms:modified xsi:type="dcterms:W3CDTF">2025-10-30T22:54:38Z</dcterms:modified>
</cp:coreProperties>
</file>